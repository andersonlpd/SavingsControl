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Carteira RV" sheetId="2" r:id="rId6"/>
    <sheet state="visible" name="Carteira RF" sheetId="3" r:id="rId7"/>
    <sheet state="hidden" name="AtivoChove" sheetId="4" r:id="rId8"/>
    <sheet state="visible" name="Vendas" sheetId="5" r:id="rId9"/>
    <sheet state="visible" name="Evolução Patrimônio" sheetId="6" r:id="rId10"/>
    <sheet state="visible" name="AAPL" sheetId="7" r:id="rId11"/>
    <sheet state="visible" name="NFLX" sheetId="8" r:id="rId12"/>
    <sheet state="visible" name="META" sheetId="9" r:id="rId13"/>
    <sheet state="visible" name="FAST" sheetId="10" r:id="rId14"/>
    <sheet state="visible" name="KO" sheetId="11" r:id="rId15"/>
    <sheet state="visible" name="APH" sheetId="12" r:id="rId16"/>
    <sheet state="visible" name="EGIE3" sheetId="13" r:id="rId17"/>
    <sheet state="visible" name="KNRI11" sheetId="14" r:id="rId18"/>
    <sheet state="visible" name="HGRU11" sheetId="15" r:id="rId19"/>
    <sheet state="visible" name="HGLG11" sheetId="16" r:id="rId20"/>
    <sheet state="visible" name="VISC11" sheetId="17" r:id="rId21"/>
    <sheet state="visible" name="ITUB3" sheetId="18" r:id="rId22"/>
    <sheet state="visible" name="WEGE3" sheetId="19" r:id="rId23"/>
    <sheet state="visible" name="TAEE3" sheetId="20" r:id="rId24"/>
    <sheet state="visible" name="PSSA3" sheetId="21" r:id="rId25"/>
    <sheet state="visible" name="HYPE3" sheetId="22" r:id="rId26"/>
    <sheet state="visible" name="B3SA3" sheetId="23" r:id="rId27"/>
    <sheet state="visible" name="BBDC3" sheetId="24" r:id="rId28"/>
    <sheet state="visible" name="ABEV3" sheetId="25" r:id="rId29"/>
    <sheet state="visible" name="BTC" sheetId="26" r:id="rId30"/>
    <sheet state="visible" name="ETH" sheetId="27" r:id="rId31"/>
    <sheet state="visible" name="PAXGOLD" sheetId="28" r:id="rId32"/>
    <sheet state="hidden" name="Tesouro Selic 2025" sheetId="29" r:id="rId33"/>
    <sheet state="visible" name="Tesouro IPCA+ 2024" sheetId="30" r:id="rId34"/>
    <sheet state="visible" name="Tesouro Selic 2027" sheetId="31" r:id="rId35"/>
    <sheet state="visible" name="Tesouro Selic 2028" sheetId="32" r:id="rId36"/>
    <sheet state="visible" name="Tesouro Selic 2031" sheetId="33" r:id="rId37"/>
    <sheet state="hidden" name="Tesouro IPCA+ 2035" sheetId="34" r:id="rId38"/>
    <sheet state="visible" name="Tesouro Educa+ 2043" sheetId="35" r:id="rId39"/>
    <sheet state="visible" name="Tesouro Renda+ 2055" sheetId="36" r:id="rId40"/>
    <sheet state="hidden" name="Privilege DI" sheetId="37" r:id="rId41"/>
    <sheet state="hidden" name="FUNDITPETR" sheetId="38" r:id="rId42"/>
    <sheet state="hidden" name="FUNDITSP500" sheetId="39" r:id="rId43"/>
    <sheet state="hidden" name="POUP" sheetId="40" r:id="rId44"/>
    <sheet state="visible" name="Tabela dinâmica - RV" sheetId="41" r:id="rId45"/>
    <sheet state="visible" name="Tabela dinâmica - RF" sheetId="42" r:id="rId46"/>
    <sheet state="visible" name="DB" sheetId="43" r:id="rId47"/>
  </sheets>
  <definedNames>
    <definedName hidden="1" localSheetId="42" name="_xlnm._FilterDatabase">DB!$A$1:$G$557</definedName>
  </definedNames>
  <calcPr/>
  <pivotCaches>
    <pivotCache cacheId="0" r:id="rId48"/>
    <pivotCache cacheId="1" r:id="rId49"/>
  </pivotCaches>
</workbook>
</file>

<file path=xl/sharedStrings.xml><?xml version="1.0" encoding="utf-8"?>
<sst xmlns="http://schemas.openxmlformats.org/spreadsheetml/2006/main" count="10940" uniqueCount="3017">
  <si>
    <t>APLICAÇÕES EM CARTEIRA</t>
  </si>
  <si>
    <t>ATIVOS EM CARTEIRA</t>
  </si>
  <si>
    <t>Código</t>
  </si>
  <si>
    <t>Nome</t>
  </si>
  <si>
    <t>Tipo de aplicação</t>
  </si>
  <si>
    <t>Valor Bruto Investido</t>
  </si>
  <si>
    <t>Valor Líquido atual</t>
  </si>
  <si>
    <t>Valorizacão R$</t>
  </si>
  <si>
    <t>Valorização %</t>
  </si>
  <si>
    <t>Qtde</t>
  </si>
  <si>
    <t>Preço Médio</t>
  </si>
  <si>
    <t>Valor Investido</t>
  </si>
  <si>
    <t>Valor atual</t>
  </si>
  <si>
    <t>Cotação atual</t>
  </si>
  <si>
    <t>Rendimento %</t>
  </si>
  <si>
    <t>Resultado R$</t>
  </si>
  <si>
    <t>Tipo de Ativo</t>
  </si>
  <si>
    <t>Setor</t>
  </si>
  <si>
    <t>Tesouro Direto</t>
  </si>
  <si>
    <t>Stock</t>
  </si>
  <si>
    <t>Electronic Components</t>
  </si>
  <si>
    <t>Total</t>
  </si>
  <si>
    <t>ID</t>
  </si>
  <si>
    <t>ITUB3</t>
  </si>
  <si>
    <t>Nome do Ativo</t>
  </si>
  <si>
    <t>Data</t>
  </si>
  <si>
    <t>Operação</t>
  </si>
  <si>
    <t>Valor unitário</t>
  </si>
  <si>
    <t>Taxas/Impostos</t>
  </si>
  <si>
    <t>Valor da operação</t>
  </si>
  <si>
    <t xml:space="preserve">Gráfico </t>
  </si>
  <si>
    <t>Dias graf</t>
  </si>
  <si>
    <t>Qtde Comprada</t>
  </si>
  <si>
    <t>Qtde Vendida</t>
  </si>
  <si>
    <t>Qtde em Carteira</t>
  </si>
  <si>
    <t>Valor das Compras</t>
  </si>
  <si>
    <t>Valor das Vendas</t>
  </si>
  <si>
    <t>Total de Taxas</t>
  </si>
  <si>
    <t>VENDA DE ATIVOS</t>
  </si>
  <si>
    <t>Tipo de negociação</t>
  </si>
  <si>
    <t>Preço médio de compra</t>
  </si>
  <si>
    <t>Preço de venda</t>
  </si>
  <si>
    <t>Valor bruto da Compra</t>
  </si>
  <si>
    <t>Valor bruto da Venda</t>
  </si>
  <si>
    <t>Taxa</t>
  </si>
  <si>
    <t>Lucro líquido</t>
  </si>
  <si>
    <t>Mês/ano da venda</t>
  </si>
  <si>
    <t>Venda</t>
  </si>
  <si>
    <t>LTC</t>
  </si>
  <si>
    <t>ETH</t>
  </si>
  <si>
    <t>BTC</t>
  </si>
  <si>
    <t>Pax Gold</t>
  </si>
  <si>
    <t>Criptomoeda</t>
  </si>
  <si>
    <t>Criptos</t>
  </si>
  <si>
    <t>-</t>
  </si>
  <si>
    <t>Valor Dólar</t>
  </si>
  <si>
    <t>RESUMO DA CARTEIRA</t>
  </si>
  <si>
    <t>Renda Variável</t>
  </si>
  <si>
    <t>Capital Investido</t>
  </si>
  <si>
    <t>Capital Atual</t>
  </si>
  <si>
    <t>Lucro não realizado</t>
  </si>
  <si>
    <t>Lucro realizado</t>
  </si>
  <si>
    <t>Renda Fixa</t>
  </si>
  <si>
    <t>Resumo Geral</t>
  </si>
  <si>
    <t>Evolução de patrimônio</t>
  </si>
  <si>
    <t>Mês</t>
  </si>
  <si>
    <t>Total Investido no mês</t>
  </si>
  <si>
    <t>Total retirado no período</t>
  </si>
  <si>
    <t>Alocação líquida</t>
  </si>
  <si>
    <t>Patrimônio total</t>
  </si>
  <si>
    <t>Evolução patrimonial</t>
  </si>
  <si>
    <t>%</t>
  </si>
  <si>
    <t>AAPL</t>
  </si>
  <si>
    <t>COMPRA</t>
  </si>
  <si>
    <t>NFLX</t>
  </si>
  <si>
    <t>META</t>
  </si>
  <si>
    <t>FAST</t>
  </si>
  <si>
    <t>KO</t>
  </si>
  <si>
    <t>APH</t>
  </si>
  <si>
    <t xml:space="preserve"> </t>
  </si>
  <si>
    <t>EGIE3</t>
  </si>
  <si>
    <t>KNRI11</t>
  </si>
  <si>
    <t>HGRU11</t>
  </si>
  <si>
    <t>HGLG11</t>
  </si>
  <si>
    <t>VISC11</t>
  </si>
  <si>
    <t>02/07/1016</t>
  </si>
  <si>
    <t>WEGE3</t>
  </si>
  <si>
    <t>TAEE3</t>
  </si>
  <si>
    <t>PSSA3</t>
  </si>
  <si>
    <t>B3SA3</t>
  </si>
  <si>
    <t>BBDC3</t>
  </si>
  <si>
    <t>HYPE3</t>
  </si>
  <si>
    <t>ABEV3</t>
  </si>
  <si>
    <t>BTCUSD</t>
  </si>
  <si>
    <t>Bitcoin</t>
  </si>
  <si>
    <t>Compra</t>
  </si>
  <si>
    <t>ETHUSD</t>
  </si>
  <si>
    <t>Ethereum</t>
  </si>
  <si>
    <t>TI+2024</t>
  </si>
  <si>
    <t>TS2025</t>
  </si>
  <si>
    <t>Nome da aplicação</t>
  </si>
  <si>
    <t>Valor bruto Investido</t>
  </si>
  <si>
    <t>VENCIMENTO</t>
  </si>
  <si>
    <t>Valorização R$</t>
  </si>
  <si>
    <t>VENDA</t>
  </si>
  <si>
    <t>TS2027</t>
  </si>
  <si>
    <t>TS2028</t>
  </si>
  <si>
    <t>TS2031</t>
  </si>
  <si>
    <t>TI+2035</t>
  </si>
  <si>
    <t>TE+2043</t>
  </si>
  <si>
    <t>TR+2055</t>
  </si>
  <si>
    <t>FUNDDI</t>
  </si>
  <si>
    <t>FUNDITPETR</t>
  </si>
  <si>
    <t>FUNDITSP500</t>
  </si>
  <si>
    <t>POUP</t>
  </si>
  <si>
    <t>SUM de Valor Investido</t>
  </si>
  <si>
    <t>SUM de Valor atual</t>
  </si>
  <si>
    <t>CODIGO</t>
  </si>
  <si>
    <t>SUM de Valor Bruto Investido</t>
  </si>
  <si>
    <t>SUM de Valor Líquido atual</t>
  </si>
  <si>
    <t>NOME</t>
  </si>
  <si>
    <t>CNPJ</t>
  </si>
  <si>
    <t>SETOR ECONÔMICO</t>
  </si>
  <si>
    <t xml:space="preserve">SUBSETOR </t>
  </si>
  <si>
    <t>SEGMENTO / ADM / PAÍS</t>
  </si>
  <si>
    <t>TIPO</t>
  </si>
  <si>
    <t>CSAN3</t>
  </si>
  <si>
    <t>SUM de Resultado R$</t>
  </si>
  <si>
    <t>50.746.577/0001-15</t>
  </si>
  <si>
    <t>Petróleo, Gás e Biocombustíveis</t>
  </si>
  <si>
    <t>Exploração, Refino e Distribuição</t>
  </si>
  <si>
    <t>Ação</t>
  </si>
  <si>
    <t>DMMO3</t>
  </si>
  <si>
    <t>08.926.302/0001-05</t>
  </si>
  <si>
    <t>DMMO11</t>
  </si>
  <si>
    <t>ENAT3</t>
  </si>
  <si>
    <t>11.669.021/0001-10</t>
  </si>
  <si>
    <t>RPMG3</t>
  </si>
  <si>
    <t>33.412.081/0001-96</t>
  </si>
  <si>
    <t>PETR3</t>
  </si>
  <si>
    <t>33.000.167/0001-01</t>
  </si>
  <si>
    <t>PETR4</t>
  </si>
  <si>
    <t>SUM de Valorizacão R$</t>
  </si>
  <si>
    <t>BRDT3</t>
  </si>
  <si>
    <t>34.274.233/0001-02</t>
  </si>
  <si>
    <t>Pct% lucro</t>
  </si>
  <si>
    <t>VBBR3</t>
  </si>
  <si>
    <t>PRIO3</t>
  </si>
  <si>
    <t>10.629.105/0001-68</t>
  </si>
  <si>
    <t>UGPA3</t>
  </si>
  <si>
    <t>33.256.439/0001-39</t>
  </si>
  <si>
    <t>LUPA3</t>
  </si>
  <si>
    <t>89.463.822/0001-12</t>
  </si>
  <si>
    <t>Equipamentos e Serviços</t>
  </si>
  <si>
    <t>OSXB3</t>
  </si>
  <si>
    <t>09.112.685/0001-32</t>
  </si>
  <si>
    <t>BRAP3</t>
  </si>
  <si>
    <t>03.847.461/0001-92</t>
  </si>
  <si>
    <t>Materiais Básicos</t>
  </si>
  <si>
    <t>Mineração</t>
  </si>
  <si>
    <t>Minerais Metálicos</t>
  </si>
  <si>
    <t>BRAP4</t>
  </si>
  <si>
    <t>SUM de Rendimento %</t>
  </si>
  <si>
    <t>LTEL3B</t>
  </si>
  <si>
    <t>00.743.065/0001-27</t>
  </si>
  <si>
    <t>LTLA3B</t>
  </si>
  <si>
    <t>05.495.546/0001-84</t>
  </si>
  <si>
    <t>MMXM3</t>
  </si>
  <si>
    <t>02.762.115/0001-49</t>
  </si>
  <si>
    <t>VALE3</t>
  </si>
  <si>
    <t>33.592.510/0001-54</t>
  </si>
  <si>
    <t>FESA3</t>
  </si>
  <si>
    <t>15.141.799/0001-03</t>
  </si>
  <si>
    <t>Siderurgia e Metalurgia</t>
  </si>
  <si>
    <t>Siderurgia</t>
  </si>
  <si>
    <t>FESA4</t>
  </si>
  <si>
    <t>GGBR3</t>
  </si>
  <si>
    <t>SUM de Valorização %</t>
  </si>
  <si>
    <t>33.611.500/0001-19</t>
  </si>
  <si>
    <t>GGBR4</t>
  </si>
  <si>
    <t>GOAU3</t>
  </si>
  <si>
    <t>92.690.783/0001-09</t>
  </si>
  <si>
    <t>GOAU4</t>
  </si>
  <si>
    <t>CSNA3</t>
  </si>
  <si>
    <t>33.042.730/0001-04</t>
  </si>
  <si>
    <t>USIM3</t>
  </si>
  <si>
    <t>60.894.730/0001-05</t>
  </si>
  <si>
    <t>USIM5</t>
  </si>
  <si>
    <t>USIM6</t>
  </si>
  <si>
    <t>MGEL3</t>
  </si>
  <si>
    <t>61.065.298/0001-02</t>
  </si>
  <si>
    <t>Artefatos de Ferro e Aço</t>
  </si>
  <si>
    <t>MGEL4</t>
  </si>
  <si>
    <t>Total geral</t>
  </si>
  <si>
    <t>PATI3</t>
  </si>
  <si>
    <t>92.693.019/0001-89</t>
  </si>
  <si>
    <t>PATI4</t>
  </si>
  <si>
    <t>TKNO3</t>
  </si>
  <si>
    <t>33.467.572/0001-34</t>
  </si>
  <si>
    <t>TKNO4</t>
  </si>
  <si>
    <t>PMAM3</t>
  </si>
  <si>
    <t>60.398.369/0004-79</t>
  </si>
  <si>
    <t>Artefatos de Cobre</t>
  </si>
  <si>
    <t>BRKM3</t>
  </si>
  <si>
    <t>42.150.391/0001-70</t>
  </si>
  <si>
    <t>Químicos</t>
  </si>
  <si>
    <t>Petroquímicos</t>
  </si>
  <si>
    <t>BRKM5</t>
  </si>
  <si>
    <t>BRKM6</t>
  </si>
  <si>
    <t>EKTR3</t>
  </si>
  <si>
    <t>02.328.280/0001-97</t>
  </si>
  <si>
    <t>EKTR4</t>
  </si>
  <si>
    <t>DEXP3</t>
  </si>
  <si>
    <t>02.193.750/0001-52</t>
  </si>
  <si>
    <t>Bancos</t>
  </si>
  <si>
    <t>BRL Trust DTVM</t>
  </si>
  <si>
    <t>DEXP4</t>
  </si>
  <si>
    <t>FHER3</t>
  </si>
  <si>
    <t>22.266.175/0001-88</t>
  </si>
  <si>
    <t>Fertilizantes e Defensivos</t>
  </si>
  <si>
    <t>NUTR3</t>
  </si>
  <si>
    <t>Cervejas e Refrigerantes</t>
  </si>
  <si>
    <t>51.128.999/0001-90</t>
  </si>
  <si>
    <t>CREDIT SUISSE</t>
  </si>
  <si>
    <t>CRPG3</t>
  </si>
  <si>
    <t>15.115.504/0001-24</t>
  </si>
  <si>
    <t>Fii</t>
  </si>
  <si>
    <t>Químicos Diversos</t>
  </si>
  <si>
    <t>CRPG5</t>
  </si>
  <si>
    <t>CRPG6</t>
  </si>
  <si>
    <t>INTRAG</t>
  </si>
  <si>
    <t>UNIP3</t>
  </si>
  <si>
    <t>33.958.695/0001-78</t>
  </si>
  <si>
    <t>UNIP5</t>
  </si>
  <si>
    <t>UNIP6</t>
  </si>
  <si>
    <t>Energia Elétrica</t>
  </si>
  <si>
    <t>DXCO3</t>
  </si>
  <si>
    <t>97.837.181/0001-47</t>
  </si>
  <si>
    <t>Madeira e Papel</t>
  </si>
  <si>
    <t>Madeira</t>
  </si>
  <si>
    <t>EUA</t>
  </si>
  <si>
    <t>EUCA3</t>
  </si>
  <si>
    <t>56.643.018/0001-66</t>
  </si>
  <si>
    <t>EUCA4</t>
  </si>
  <si>
    <t>Industrial Distribution</t>
  </si>
  <si>
    <t>Medicamentos e Outros Produtos</t>
  </si>
  <si>
    <t>RANI3</t>
  </si>
  <si>
    <t>92.791.243/0001-03</t>
  </si>
  <si>
    <t>Papel e Celulose</t>
  </si>
  <si>
    <t>Motores, Compressores e Outros</t>
  </si>
  <si>
    <t>RANI4</t>
  </si>
  <si>
    <t>Non-Alcoholic beverages</t>
  </si>
  <si>
    <t>KLBN3</t>
  </si>
  <si>
    <t>89.637.490/0001-45</t>
  </si>
  <si>
    <t>Seguradoras</t>
  </si>
  <si>
    <t>KLBN4</t>
  </si>
  <si>
    <t>KLBN11</t>
  </si>
  <si>
    <t>Serviços Financeiros Diversos</t>
  </si>
  <si>
    <t>MSPA3</t>
  </si>
  <si>
    <t>60.730.348/0001-66</t>
  </si>
  <si>
    <t>NEMO3</t>
  </si>
  <si>
    <t>60.651.809/0001-05</t>
  </si>
  <si>
    <t>NEMO5</t>
  </si>
  <si>
    <t>NEMO6</t>
  </si>
  <si>
    <t>SUZB3</t>
  </si>
  <si>
    <t>16.404.287/0001-55</t>
  </si>
  <si>
    <t>MTIG3</t>
  </si>
  <si>
    <t>80.227.184/0001-66</t>
  </si>
  <si>
    <t>Embalagens</t>
  </si>
  <si>
    <t>MTIG4</t>
  </si>
  <si>
    <t>SNSY3</t>
  </si>
  <si>
    <t>14.807.945/0001-24</t>
  </si>
  <si>
    <t>Materiais Diversos</t>
  </si>
  <si>
    <t>SNSY5</t>
  </si>
  <si>
    <t>SNSY6</t>
  </si>
  <si>
    <t>ETER3</t>
  </si>
  <si>
    <t>61.092.037/0001-81</t>
  </si>
  <si>
    <t>Bens Industriais</t>
  </si>
  <si>
    <t>Construção e Engenharia</t>
  </si>
  <si>
    <t>Produtos para Construção</t>
  </si>
  <si>
    <t>HAGA3</t>
  </si>
  <si>
    <t>30.540.991/0001-66</t>
  </si>
  <si>
    <t>HAGA4</t>
  </si>
  <si>
    <t>PTBL3</t>
  </si>
  <si>
    <t>83.475.913/0001-91</t>
  </si>
  <si>
    <t>AZEV3</t>
  </si>
  <si>
    <t>61.351.532/0001-68</t>
  </si>
  <si>
    <t>Construção Pesada</t>
  </si>
  <si>
    <t>AZEV4</t>
  </si>
  <si>
    <t>SOND3</t>
  </si>
  <si>
    <t>33.386.210/0001-19</t>
  </si>
  <si>
    <t>Engenharia Consultiva</t>
  </si>
  <si>
    <t>SOND5</t>
  </si>
  <si>
    <t>SOND6</t>
  </si>
  <si>
    <t>TCNO3</t>
  </si>
  <si>
    <t>33.111.246/0001-90</t>
  </si>
  <si>
    <t>TCNO4</t>
  </si>
  <si>
    <t>MILS3</t>
  </si>
  <si>
    <t>27.093.558/0001-15</t>
  </si>
  <si>
    <t>Serviços Diversos</t>
  </si>
  <si>
    <t>EMBR3</t>
  </si>
  <si>
    <t>07.689.002/0001-89</t>
  </si>
  <si>
    <t>Material de Transporte</t>
  </si>
  <si>
    <t>Material Aeronáutico e de Defesa</t>
  </si>
  <si>
    <t>FRAS3</t>
  </si>
  <si>
    <t>88.610.126/0001-29</t>
  </si>
  <si>
    <t>Material Rodoviário</t>
  </si>
  <si>
    <t>POMO3</t>
  </si>
  <si>
    <t>88.611.835/0001-29</t>
  </si>
  <si>
    <t>POMO4</t>
  </si>
  <si>
    <t>RAPT3</t>
  </si>
  <si>
    <t>89.086.144/0001-16</t>
  </si>
  <si>
    <t>RAPT4</t>
  </si>
  <si>
    <t>RCSL3</t>
  </si>
  <si>
    <t>91.333.666/0001-17</t>
  </si>
  <si>
    <t>RCSL4</t>
  </si>
  <si>
    <t>RSUL3</t>
  </si>
  <si>
    <t>85.778.074/0001-06</t>
  </si>
  <si>
    <t>RSUL4</t>
  </si>
  <si>
    <t>TUPY3</t>
  </si>
  <si>
    <t>84.683.374/0001-49</t>
  </si>
  <si>
    <t>MWET3</t>
  </si>
  <si>
    <t>84.683.671/0001-94</t>
  </si>
  <si>
    <t>MWET4</t>
  </si>
  <si>
    <t>SHUL4</t>
  </si>
  <si>
    <t>84.693.183/0001-68</t>
  </si>
  <si>
    <t>Máquinas e Equipamentos</t>
  </si>
  <si>
    <t>84.429.695/0001-11</t>
  </si>
  <si>
    <t>EALT3</t>
  </si>
  <si>
    <t>82.643.537/0001-34</t>
  </si>
  <si>
    <t>Máq. e Equip. Industriais</t>
  </si>
  <si>
    <t>EALT4</t>
  </si>
  <si>
    <t>BDLL4</t>
  </si>
  <si>
    <t>60.851.615/0001-53</t>
  </si>
  <si>
    <t>ROMI3</t>
  </si>
  <si>
    <t>56.720.428/0001-63</t>
  </si>
  <si>
    <t>INEP3</t>
  </si>
  <si>
    <t>76.627.504/0001-06</t>
  </si>
  <si>
    <t>INEP4</t>
  </si>
  <si>
    <t>KEPL3</t>
  </si>
  <si>
    <t>91.983.056/0001-69</t>
  </si>
  <si>
    <t>FRIO3</t>
  </si>
  <si>
    <t>04.821.041/0001-08</t>
  </si>
  <si>
    <t>NORD3</t>
  </si>
  <si>
    <t>60.884.319/0001-59</t>
  </si>
  <si>
    <t>PTCA3</t>
  </si>
  <si>
    <t>08.574.411/0001-00</t>
  </si>
  <si>
    <t>PTCA11</t>
  </si>
  <si>
    <t>MTSA3</t>
  </si>
  <si>
    <t>86.375.425/0001-09</t>
  </si>
  <si>
    <t>Máq. e Equip. Construção e Agrícolas</t>
  </si>
  <si>
    <t>MTSA4</t>
  </si>
  <si>
    <t>STTR3</t>
  </si>
  <si>
    <t>91.495.499/0001-00</t>
  </si>
  <si>
    <t>TASA3</t>
  </si>
  <si>
    <t>92.781.335/0001-02</t>
  </si>
  <si>
    <t>Armas e Munições</t>
  </si>
  <si>
    <t>TASA4</t>
  </si>
  <si>
    <t>AZUL4</t>
  </si>
  <si>
    <t>09.305.994/0001-29</t>
  </si>
  <si>
    <t>Transporte</t>
  </si>
  <si>
    <t>Transporte Aéreo</t>
  </si>
  <si>
    <t>GOLL4</t>
  </si>
  <si>
    <t>06.164.253/0001-87</t>
  </si>
  <si>
    <t>FRRN3B</t>
  </si>
  <si>
    <t>24.962.466/0001-36</t>
  </si>
  <si>
    <t>Transporte Ferroviário</t>
  </si>
  <si>
    <t>FRRN5B</t>
  </si>
  <si>
    <t>FRRN6B</t>
  </si>
  <si>
    <t>RLOG3</t>
  </si>
  <si>
    <t>17.346.997/0001-39</t>
  </si>
  <si>
    <t>VSPT3</t>
  </si>
  <si>
    <t>00.924.429/0001-75</t>
  </si>
  <si>
    <t>VSPT4</t>
  </si>
  <si>
    <t>MRSA3B</t>
  </si>
  <si>
    <t>01.417.222/0001-77</t>
  </si>
  <si>
    <t>MRSA5B</t>
  </si>
  <si>
    <t>MRSA6B</t>
  </si>
  <si>
    <t>RAIL3</t>
  </si>
  <si>
    <t>02.387.241/0001-60</t>
  </si>
  <si>
    <t>LOGN3</t>
  </si>
  <si>
    <t>42.278.291/0001-24</t>
  </si>
  <si>
    <t>Transporte Hidroviário</t>
  </si>
  <si>
    <t>LUXM3</t>
  </si>
  <si>
    <t>92.660.570/0001-26</t>
  </si>
  <si>
    <t>LUXM4</t>
  </si>
  <si>
    <t>JSLG3</t>
  </si>
  <si>
    <t>52.548.435/0001-79</t>
  </si>
  <si>
    <t>Transporte Rodoviário</t>
  </si>
  <si>
    <t>TGMA3</t>
  </si>
  <si>
    <t>02.351.144/0001-18</t>
  </si>
  <si>
    <t>CCRO3</t>
  </si>
  <si>
    <t>02.846.056/0001-97</t>
  </si>
  <si>
    <t>Exploração de Rodovias</t>
  </si>
  <si>
    <t>CRTE3B</t>
  </si>
  <si>
    <t>00.938.574/0001-05</t>
  </si>
  <si>
    <t>CRTE5B</t>
  </si>
  <si>
    <t>ECOR3</t>
  </si>
  <si>
    <t>04.149.454/0001-80</t>
  </si>
  <si>
    <t>TPIS3</t>
  </si>
  <si>
    <t>03.014.553/0001-91</t>
  </si>
  <si>
    <t>IVPR3B</t>
  </si>
  <si>
    <t>03.758.318/0001-24</t>
  </si>
  <si>
    <t>Serviços de Apoio e Armazenagem</t>
  </si>
  <si>
    <t>IVPR4B</t>
  </si>
  <si>
    <t>STBP3</t>
  </si>
  <si>
    <t>02.762.121/0001-04</t>
  </si>
  <si>
    <t>WSON33</t>
  </si>
  <si>
    <t>05.721.735/0001-28</t>
  </si>
  <si>
    <t>BBML3</t>
  </si>
  <si>
    <t>01.107.327/0001-20</t>
  </si>
  <si>
    <t>CARD3</t>
  </si>
  <si>
    <t>01.896.779/0001-38</t>
  </si>
  <si>
    <t>FLEX3</t>
  </si>
  <si>
    <t>10.851.805/0001-00</t>
  </si>
  <si>
    <t>PRNR3</t>
  </si>
  <si>
    <t>18.593.815/0001-97</t>
  </si>
  <si>
    <t>VLID3</t>
  </si>
  <si>
    <t>33.113.309/0001-47</t>
  </si>
  <si>
    <t>BTTL3</t>
  </si>
  <si>
    <t>42.331.462/0001-31</t>
  </si>
  <si>
    <t>Comércio</t>
  </si>
  <si>
    <t>WLMM3</t>
  </si>
  <si>
    <t>33.228.024/0001-51</t>
  </si>
  <si>
    <t>WLMM4</t>
  </si>
  <si>
    <t>AGRO3</t>
  </si>
  <si>
    <t>07.628.528/0001-59</t>
  </si>
  <si>
    <t>Consumo não Cíclico</t>
  </si>
  <si>
    <t>Agropecuária</t>
  </si>
  <si>
    <t>Agricultura</t>
  </si>
  <si>
    <t>FRTA3</t>
  </si>
  <si>
    <t>86.550.951/0001-50</t>
  </si>
  <si>
    <t>SLCE3</t>
  </si>
  <si>
    <t>89.096.457/0001-55</t>
  </si>
  <si>
    <t>TESA3</t>
  </si>
  <si>
    <t>05.799.312/0001-20</t>
  </si>
  <si>
    <t>BSEV3</t>
  </si>
  <si>
    <t>15.527.906/0001-36</t>
  </si>
  <si>
    <t>Alimentos Processados</t>
  </si>
  <si>
    <t>Açucar e Alcool</t>
  </si>
  <si>
    <t>SMTO3</t>
  </si>
  <si>
    <t>51.466.860/0001-56</t>
  </si>
  <si>
    <t>BRFS3</t>
  </si>
  <si>
    <t>01.838.723/0001-27</t>
  </si>
  <si>
    <t>Carnes e Derivados</t>
  </si>
  <si>
    <t>BAUH3</t>
  </si>
  <si>
    <t>95.426.862/0001-97</t>
  </si>
  <si>
    <t>BAUH4</t>
  </si>
  <si>
    <t>JBSS3</t>
  </si>
  <si>
    <t>02.916.265/0001-60</t>
  </si>
  <si>
    <t>MRFG3</t>
  </si>
  <si>
    <t>03.853.896/0001-40</t>
  </si>
  <si>
    <t>BEEF3</t>
  </si>
  <si>
    <t>67.620.377/0001-14</t>
  </si>
  <si>
    <t>MNPR3</t>
  </si>
  <si>
    <t>90.076.886/0001-40</t>
  </si>
  <si>
    <t>CAML3</t>
  </si>
  <si>
    <t>64.904.295/0001-03</t>
  </si>
  <si>
    <t>Alimentos Diversos</t>
  </si>
  <si>
    <t>JOPA3</t>
  </si>
  <si>
    <t>87.456.562/0001-22</t>
  </si>
  <si>
    <t>JOPA4</t>
  </si>
  <si>
    <t>MDIA3</t>
  </si>
  <si>
    <t>07.206.816/0001-15</t>
  </si>
  <si>
    <t>07.526.557/0001-00</t>
  </si>
  <si>
    <t>Bebidas</t>
  </si>
  <si>
    <t>NTCO3</t>
  </si>
  <si>
    <t>71.673.990/0001-77</t>
  </si>
  <si>
    <t>Produtos de Uso Pessoal e de Limpeza</t>
  </si>
  <si>
    <t>Produtos de Uso Pessoal</t>
  </si>
  <si>
    <t>BOBR4</t>
  </si>
  <si>
    <t>50.564.053/0001-03</t>
  </si>
  <si>
    <t>Produtos de Limpeza</t>
  </si>
  <si>
    <t>CRFB3</t>
  </si>
  <si>
    <t>75.315.333/0001-09</t>
  </si>
  <si>
    <t>Comércio e Distribuição</t>
  </si>
  <si>
    <t>Alimentos</t>
  </si>
  <si>
    <t>PCAR3</t>
  </si>
  <si>
    <t>47.508.411/0001-56</t>
  </si>
  <si>
    <t>CRDE3</t>
  </si>
  <si>
    <t>07.820.907/0001-46</t>
  </si>
  <si>
    <t>Consumo Cíclico</t>
  </si>
  <si>
    <t>Construção Civil</t>
  </si>
  <si>
    <t>Incorporações</t>
  </si>
  <si>
    <t>CYRE3</t>
  </si>
  <si>
    <t>73.178.600/0001-18</t>
  </si>
  <si>
    <t>DIRR3</t>
  </si>
  <si>
    <t>16.614.075/0001-00</t>
  </si>
  <si>
    <t>EVEN3</t>
  </si>
  <si>
    <t>43.470.988/0001-65</t>
  </si>
  <si>
    <t>EZTC3</t>
  </si>
  <si>
    <t>08.312.229/0001-73</t>
  </si>
  <si>
    <t>GFSA3</t>
  </si>
  <si>
    <t>01.545.826/0001-07</t>
  </si>
  <si>
    <t>HBOR3</t>
  </si>
  <si>
    <t>49.263.189/0001-02</t>
  </si>
  <si>
    <t>INNT3</t>
  </si>
  <si>
    <t>09.611.768/0001-76</t>
  </si>
  <si>
    <t>JHSF3</t>
  </si>
  <si>
    <t>08.294.224/0001-65</t>
  </si>
  <si>
    <t>JFEN3</t>
  </si>
  <si>
    <t>33.035.536/0001-00</t>
  </si>
  <si>
    <t>MTRE3</t>
  </si>
  <si>
    <t>07.882.930/0001-65</t>
  </si>
  <si>
    <t>MDNE3</t>
  </si>
  <si>
    <t>12.049.631/0001-84</t>
  </si>
  <si>
    <t>MRVE3</t>
  </si>
  <si>
    <t>08.343.492/0001-20</t>
  </si>
  <si>
    <t>PDGR3</t>
  </si>
  <si>
    <t>02.950.811/0001-89</t>
  </si>
  <si>
    <t>RDNI3</t>
  </si>
  <si>
    <t>67.010.660/0001-24</t>
  </si>
  <si>
    <t>RSID3</t>
  </si>
  <si>
    <t>61.065.751/0001-80</t>
  </si>
  <si>
    <t>TCSA3</t>
  </si>
  <si>
    <t>08.065.557/0001-12</t>
  </si>
  <si>
    <t>TEND3</t>
  </si>
  <si>
    <t>71.476.527/0001-35</t>
  </si>
  <si>
    <t>TRIS3</t>
  </si>
  <si>
    <t>08.811.643/0001-27</t>
  </si>
  <si>
    <t>VIVR3</t>
  </si>
  <si>
    <t>67.571.414/0001-41</t>
  </si>
  <si>
    <t>CEDO3</t>
  </si>
  <si>
    <t>17.245.234/0001-00</t>
  </si>
  <si>
    <t>Tecidos, Vestuário e Calçados</t>
  </si>
  <si>
    <t>Fios e Tecidos</t>
  </si>
  <si>
    <t>CEDO4</t>
  </si>
  <si>
    <t>CTNM3</t>
  </si>
  <si>
    <t>22.677.520/0001-76</t>
  </si>
  <si>
    <t>CTNM4</t>
  </si>
  <si>
    <t>DOHL3</t>
  </si>
  <si>
    <t>84.683.408/0001-03</t>
  </si>
  <si>
    <t>DOHL4</t>
  </si>
  <si>
    <t>CTKA3</t>
  </si>
  <si>
    <t>82.640.558/0001-04</t>
  </si>
  <si>
    <t>CTKA4</t>
  </si>
  <si>
    <t>PTNT3</t>
  </si>
  <si>
    <t>88.613.658/0001-10</t>
  </si>
  <si>
    <t>PTNT4</t>
  </si>
  <si>
    <t>CTSA3</t>
  </si>
  <si>
    <t>21.255.567/0001-89</t>
  </si>
  <si>
    <t>CTSA4</t>
  </si>
  <si>
    <t>CTSA8</t>
  </si>
  <si>
    <t>SGPS3</t>
  </si>
  <si>
    <t>07.718.269/0001-57</t>
  </si>
  <si>
    <t>TEKA3</t>
  </si>
  <si>
    <t>82.636.986/0001-55</t>
  </si>
  <si>
    <t>TEKA4</t>
  </si>
  <si>
    <t>TXRX3</t>
  </si>
  <si>
    <t>82.982.075/0001-80</t>
  </si>
  <si>
    <t>TXRX4</t>
  </si>
  <si>
    <t>HGTX3</t>
  </si>
  <si>
    <t>78.876.950/0001-71</t>
  </si>
  <si>
    <t>Vestuário</t>
  </si>
  <si>
    <t>ALPA3</t>
  </si>
  <si>
    <t>61.079.117/0001-05</t>
  </si>
  <si>
    <t>Calçados</t>
  </si>
  <si>
    <t>ALPA4</t>
  </si>
  <si>
    <t>CAMB3</t>
  </si>
  <si>
    <t>61.088.894/0001-08</t>
  </si>
  <si>
    <t>GRND3</t>
  </si>
  <si>
    <t>89.850.341/0001-60</t>
  </si>
  <si>
    <t>VULC3</t>
  </si>
  <si>
    <t>50.926.955/0001-42</t>
  </si>
  <si>
    <t>MNDL3</t>
  </si>
  <si>
    <t>88.610.191/0001-54</t>
  </si>
  <si>
    <t>Acessórios</t>
  </si>
  <si>
    <t>TECN3</t>
  </si>
  <si>
    <t>09.295.063/0001-97</t>
  </si>
  <si>
    <t>VIVA3</t>
  </si>
  <si>
    <t>84.453.844/0342-44</t>
  </si>
  <si>
    <t>WHRL3</t>
  </si>
  <si>
    <t>59.105.999/0001-86</t>
  </si>
  <si>
    <t>Utilidades Domésticas</t>
  </si>
  <si>
    <t>Eletrodomésticos</t>
  </si>
  <si>
    <t>WHRL4</t>
  </si>
  <si>
    <t>UCAS3</t>
  </si>
  <si>
    <t>90.441.460/0001-48</t>
  </si>
  <si>
    <t>Móveis</t>
  </si>
  <si>
    <t>HETA3</t>
  </si>
  <si>
    <t>92.749.225/0001-63</t>
  </si>
  <si>
    <t>Utensílios Domésticos</t>
  </si>
  <si>
    <t>HETA4</t>
  </si>
  <si>
    <t>MYPK3</t>
  </si>
  <si>
    <t>61.156.113/0001-75</t>
  </si>
  <si>
    <t>Automóveis e Motocicletas</t>
  </si>
  <si>
    <t>LEVE3</t>
  </si>
  <si>
    <t>60.476.884/0001-87</t>
  </si>
  <si>
    <t>PLAS3</t>
  </si>
  <si>
    <t>51.928.174/0001-50</t>
  </si>
  <si>
    <t>HOOT4</t>
  </si>
  <si>
    <t>33.200.049/0001-47</t>
  </si>
  <si>
    <t>Hoteis e Restaurantes</t>
  </si>
  <si>
    <t>Hotelaria</t>
  </si>
  <si>
    <t>BKBR3</t>
  </si>
  <si>
    <t>13.574.594/0001-96</t>
  </si>
  <si>
    <t>Restaurante e Similares</t>
  </si>
  <si>
    <t>MEAL3</t>
  </si>
  <si>
    <t>17.314.329/0001-20</t>
  </si>
  <si>
    <t>BMKS3</t>
  </si>
  <si>
    <t>56.992.423/0001-90</t>
  </si>
  <si>
    <t>Viagens e Lazer</t>
  </si>
  <si>
    <t>Bicicletas</t>
  </si>
  <si>
    <t>ESTR4</t>
  </si>
  <si>
    <t>61.082.004/0001-50</t>
  </si>
  <si>
    <t>Brinquedos e Jogos</t>
  </si>
  <si>
    <t>AHEB3</t>
  </si>
  <si>
    <t>62.002.886/0001-60</t>
  </si>
  <si>
    <t>Produção de Eventos e Shows</t>
  </si>
  <si>
    <t>AHEB5</t>
  </si>
  <si>
    <t>AHEB6</t>
  </si>
  <si>
    <t>SHOW3</t>
  </si>
  <si>
    <t>02.860.694/0001-62</t>
  </si>
  <si>
    <t>CVCB3</t>
  </si>
  <si>
    <t>10.760.260/0001-19</t>
  </si>
  <si>
    <t>Viagens e Turismo</t>
  </si>
  <si>
    <t>SMFT3</t>
  </si>
  <si>
    <t>07.594.978/0001-78</t>
  </si>
  <si>
    <t>Atividades Esportivas</t>
  </si>
  <si>
    <t>ANIM3</t>
  </si>
  <si>
    <t>09.288.252/0001-32</t>
  </si>
  <si>
    <t>Diversos</t>
  </si>
  <si>
    <t>Serviços Educacionais</t>
  </si>
  <si>
    <t>BAHI3</t>
  </si>
  <si>
    <t>45.987.245/0001-92</t>
  </si>
  <si>
    <t>COGN3</t>
  </si>
  <si>
    <t>02.800.026/0001-40</t>
  </si>
  <si>
    <t>SEER3</t>
  </si>
  <si>
    <t>04.986.320/0001-13</t>
  </si>
  <si>
    <t>YDUQ3</t>
  </si>
  <si>
    <t>08.807.432/0001-10</t>
  </si>
  <si>
    <t>RENT3</t>
  </si>
  <si>
    <t>16.670.085/0001-55</t>
  </si>
  <si>
    <t>Aluguel de carros</t>
  </si>
  <si>
    <t>LCAM3</t>
  </si>
  <si>
    <t>10.215.988/0001-60</t>
  </si>
  <si>
    <t>MSRO3</t>
  </si>
  <si>
    <t>08.795.211/0001-70</t>
  </si>
  <si>
    <t>MOVI3</t>
  </si>
  <si>
    <t>21.314.559/0001-66</t>
  </si>
  <si>
    <t>SMLS3</t>
  </si>
  <si>
    <t>05.730.375/0001-20</t>
  </si>
  <si>
    <t>Programas de Fidelização</t>
  </si>
  <si>
    <t>ARZZ3</t>
  </si>
  <si>
    <t>16.590.234/0001-76</t>
  </si>
  <si>
    <t>CEAB3</t>
  </si>
  <si>
    <t>45.242.914/0001-05</t>
  </si>
  <si>
    <t>CGRA3</t>
  </si>
  <si>
    <t>92.012.467/0001-70</t>
  </si>
  <si>
    <t>CGRA4</t>
  </si>
  <si>
    <t>GUAR3</t>
  </si>
  <si>
    <t>08.402.943/0001-52</t>
  </si>
  <si>
    <t>LLIS3</t>
  </si>
  <si>
    <t>49.669.856/0001-43</t>
  </si>
  <si>
    <t>AMAR3</t>
  </si>
  <si>
    <t>61.189.288/0001-89</t>
  </si>
  <si>
    <t>LREN3</t>
  </si>
  <si>
    <t>92.754.738/0001-62</t>
  </si>
  <si>
    <t>MGLU3</t>
  </si>
  <si>
    <t>47.960.950/0001-21</t>
  </si>
  <si>
    <t>VIIA3</t>
  </si>
  <si>
    <t>33.041.260/0652-90</t>
  </si>
  <si>
    <t>AMER3</t>
  </si>
  <si>
    <t>00.776.574/0001-56</t>
  </si>
  <si>
    <t>Produtos Diversos</t>
  </si>
  <si>
    <t>SBFG3</t>
  </si>
  <si>
    <t>13.217.485/0001-11</t>
  </si>
  <si>
    <t>LAME3</t>
  </si>
  <si>
    <t>33.014.556/0001-96</t>
  </si>
  <si>
    <t>LAME4</t>
  </si>
  <si>
    <t>SLED3</t>
  </si>
  <si>
    <t>60.500.139/0001-26</t>
  </si>
  <si>
    <t>SLED4</t>
  </si>
  <si>
    <t>BIOM3</t>
  </si>
  <si>
    <t>04.752.991/0001-10</t>
  </si>
  <si>
    <t>Saúde</t>
  </si>
  <si>
    <t>NRTQ3</t>
  </si>
  <si>
    <t>29.950.060/0001-57</t>
  </si>
  <si>
    <t>OFSA3</t>
  </si>
  <si>
    <t>20.258.278/0001-70</t>
  </si>
  <si>
    <t>ADHM3</t>
  </si>
  <si>
    <t>10.345.009/0001-98</t>
  </si>
  <si>
    <t>Análises e Diagnósticos</t>
  </si>
  <si>
    <t>AALR3</t>
  </si>
  <si>
    <t>42.771.949/0001-35</t>
  </si>
  <si>
    <t>DASA3</t>
  </si>
  <si>
    <t>61.486.650/0001-83</t>
  </si>
  <si>
    <t>FLRY3</t>
  </si>
  <si>
    <t>60.840.055/0001-31</t>
  </si>
  <si>
    <t>HAPV3</t>
  </si>
  <si>
    <t>05.197.443/0001-38</t>
  </si>
  <si>
    <t>PARD3</t>
  </si>
  <si>
    <t>19.378.769/0001-76</t>
  </si>
  <si>
    <t>GNDI3</t>
  </si>
  <si>
    <t>19.853.511/0001-84</t>
  </si>
  <si>
    <t>ODPV3</t>
  </si>
  <si>
    <t>58.119.199/0001-51</t>
  </si>
  <si>
    <t>QUAL3</t>
  </si>
  <si>
    <t>11.992.680/0001-93</t>
  </si>
  <si>
    <t>BALM3</t>
  </si>
  <si>
    <t>61.374.161/0001-30</t>
  </si>
  <si>
    <t>Equipamentos</t>
  </si>
  <si>
    <t>BALM4</t>
  </si>
  <si>
    <t>LMED3</t>
  </si>
  <si>
    <t>02.357.251/0001-53</t>
  </si>
  <si>
    <t>PNVL3</t>
  </si>
  <si>
    <t>92.665.611/0001-77</t>
  </si>
  <si>
    <t>PNVL4</t>
  </si>
  <si>
    <t>02.932.074/0001-91</t>
  </si>
  <si>
    <t>PFRM3</t>
  </si>
  <si>
    <t>45.453.214/0001-51</t>
  </si>
  <si>
    <t>RADL3</t>
  </si>
  <si>
    <t>61.585.865/0001-51</t>
  </si>
  <si>
    <t>POSI3</t>
  </si>
  <si>
    <t>81.243.735/0001-48</t>
  </si>
  <si>
    <t>Tecnologia da Informação</t>
  </si>
  <si>
    <t>Computadores e Equipamentos</t>
  </si>
  <si>
    <t>BRQB3</t>
  </si>
  <si>
    <t>36.542.025/0001-64</t>
  </si>
  <si>
    <t>Programas e Serviços</t>
  </si>
  <si>
    <t>LINX3</t>
  </si>
  <si>
    <t>06.948.969/0001-75</t>
  </si>
  <si>
    <t>LWSA3</t>
  </si>
  <si>
    <t>02.351.877/0001-52</t>
  </si>
  <si>
    <t>QUSW3</t>
  </si>
  <si>
    <t>35.791.391/0001-94</t>
  </si>
  <si>
    <t>SQIA3</t>
  </si>
  <si>
    <t>04.065.791/0001-99</t>
  </si>
  <si>
    <t>TOTS3</t>
  </si>
  <si>
    <t>53.113.791/0001-22</t>
  </si>
  <si>
    <t>OIBR3</t>
  </si>
  <si>
    <t>76.535.764/0001-43</t>
  </si>
  <si>
    <t>Comunicações</t>
  </si>
  <si>
    <t>Telecomunicações</t>
  </si>
  <si>
    <t>OIBR4</t>
  </si>
  <si>
    <t>TELB3</t>
  </si>
  <si>
    <t>00.336.701/0001-04</t>
  </si>
  <si>
    <t>TELB4</t>
  </si>
  <si>
    <t>VIVT3</t>
  </si>
  <si>
    <t>02.558.157/0001-62</t>
  </si>
  <si>
    <t>TIMS3</t>
  </si>
  <si>
    <t>02.421.421/0001-11</t>
  </si>
  <si>
    <t>CNSY3</t>
  </si>
  <si>
    <t>07.437.016/0001-05</t>
  </si>
  <si>
    <t>Mídia</t>
  </si>
  <si>
    <t>Produção e Difusão de Filmes e Programas</t>
  </si>
  <si>
    <t>AESB3</t>
  </si>
  <si>
    <t xml:space="preserve"> 37.663.076/0001-07</t>
  </si>
  <si>
    <t>Utilidade Pública</t>
  </si>
  <si>
    <t>AFLT3</t>
  </si>
  <si>
    <t>10.338.320/0001-00</t>
  </si>
  <si>
    <t>ALUP3</t>
  </si>
  <si>
    <t>08.364.948/0001-38</t>
  </si>
  <si>
    <t>ALUP4</t>
  </si>
  <si>
    <t>ALUP11</t>
  </si>
  <si>
    <t>CBEE3</t>
  </si>
  <si>
    <t>33.050.071/0001-58</t>
  </si>
  <si>
    <t>CEBR3</t>
  </si>
  <si>
    <t>00.070.698/0001-11</t>
  </si>
  <si>
    <t>CEBR5</t>
  </si>
  <si>
    <t>CEBR6</t>
  </si>
  <si>
    <t>CEED3</t>
  </si>
  <si>
    <t>08.467.115/0001-00</t>
  </si>
  <si>
    <t>CEED4</t>
  </si>
  <si>
    <t>EEEL3</t>
  </si>
  <si>
    <t>92.715.812/0001-31</t>
  </si>
  <si>
    <t>EEEL4</t>
  </si>
  <si>
    <t>CLSC3</t>
  </si>
  <si>
    <t>83.878.892/0001-55</t>
  </si>
  <si>
    <t>CLSC4</t>
  </si>
  <si>
    <t>CEPE3</t>
  </si>
  <si>
    <t>10.835.932/0001-08</t>
  </si>
  <si>
    <t>CEPE5</t>
  </si>
  <si>
    <t>CEPE6</t>
  </si>
  <si>
    <t>CMIG3</t>
  </si>
  <si>
    <t>17.155.730/0001-64</t>
  </si>
  <si>
    <t>CMIG4</t>
  </si>
  <si>
    <t>CESP3</t>
  </si>
  <si>
    <t>60.933.603/0001-78</t>
  </si>
  <si>
    <t>CESP5</t>
  </si>
  <si>
    <t>CESP6</t>
  </si>
  <si>
    <t>CEEB3</t>
  </si>
  <si>
    <t>15.139.629/0001-94</t>
  </si>
  <si>
    <t>CEEB5</t>
  </si>
  <si>
    <t>COCE3</t>
  </si>
  <si>
    <t>07.047.251/0001-70</t>
  </si>
  <si>
    <t>COCE5</t>
  </si>
  <si>
    <t>COCE6</t>
  </si>
  <si>
    <t>CPLE3</t>
  </si>
  <si>
    <t>76.483.817/0001-20</t>
  </si>
  <si>
    <t>CPLE5</t>
  </si>
  <si>
    <t>CPLE6</t>
  </si>
  <si>
    <t>CPLE11</t>
  </si>
  <si>
    <t>CSRN3</t>
  </si>
  <si>
    <t>08.324.196/0001-81</t>
  </si>
  <si>
    <t>CSRN5</t>
  </si>
  <si>
    <t>CSRN6</t>
  </si>
  <si>
    <t>CPFE3</t>
  </si>
  <si>
    <t>02.429.144/0001-93</t>
  </si>
  <si>
    <t>ELET3</t>
  </si>
  <si>
    <t>00.001.180/0001-26</t>
  </si>
  <si>
    <t>ELET5</t>
  </si>
  <si>
    <t>ELET6</t>
  </si>
  <si>
    <t>LIPR3</t>
  </si>
  <si>
    <t>01.104.937/0001-70</t>
  </si>
  <si>
    <t>EMAE3</t>
  </si>
  <si>
    <t>02.302.101/0001-42</t>
  </si>
  <si>
    <t>EMAE4</t>
  </si>
  <si>
    <t>ENBR3</t>
  </si>
  <si>
    <t>03.983.431/0001-03</t>
  </si>
  <si>
    <t>ENGI3</t>
  </si>
  <si>
    <t>00.864.214/0001-06</t>
  </si>
  <si>
    <t>ENGI4</t>
  </si>
  <si>
    <t>ENGI11</t>
  </si>
  <si>
    <t>ENMT3</t>
  </si>
  <si>
    <t>03.467.321/0001-99</t>
  </si>
  <si>
    <t>ENMT4</t>
  </si>
  <si>
    <t>ENEV3</t>
  </si>
  <si>
    <t>04.423.567/0001-21</t>
  </si>
  <si>
    <t>02.474.103/0001-19</t>
  </si>
  <si>
    <t>EQPA3</t>
  </si>
  <si>
    <t>04.895.728/0001-80</t>
  </si>
  <si>
    <t>EQPA5</t>
  </si>
  <si>
    <t>EQPA6</t>
  </si>
  <si>
    <t>EQPA7</t>
  </si>
  <si>
    <t>EQMA3B</t>
  </si>
  <si>
    <t>06.272.793/0001-84</t>
  </si>
  <si>
    <t>EQMA5B</t>
  </si>
  <si>
    <t>EQMA6B</t>
  </si>
  <si>
    <t>EQTL3</t>
  </si>
  <si>
    <t>03.220.438/0001-73</t>
  </si>
  <si>
    <t>GEPA3</t>
  </si>
  <si>
    <t>02.998.301/0001-81</t>
  </si>
  <si>
    <t>GEPA4</t>
  </si>
  <si>
    <t>LIGT3</t>
  </si>
  <si>
    <t>03.378.521/0001-75</t>
  </si>
  <si>
    <t>NEOE3</t>
  </si>
  <si>
    <t>01.083.200/0001-18</t>
  </si>
  <si>
    <t>MEGA3</t>
  </si>
  <si>
    <t>42.500.384/0001-51</t>
  </si>
  <si>
    <t>PRMN3B</t>
  </si>
  <si>
    <t>02.291.077/0001-93</t>
  </si>
  <si>
    <t>REDE3</t>
  </si>
  <si>
    <t>61.584.140/0001-49</t>
  </si>
  <si>
    <t>RNEW3</t>
  </si>
  <si>
    <t>08.534.605/0001-74</t>
  </si>
  <si>
    <t>RNEW4</t>
  </si>
  <si>
    <t>RNEW11</t>
  </si>
  <si>
    <t>07.859.971/0001-30</t>
  </si>
  <si>
    <t>TAEE4</t>
  </si>
  <si>
    <t>TAEE11</t>
  </si>
  <si>
    <t>TRPL3</t>
  </si>
  <si>
    <t>02.998.611/0001-04</t>
  </si>
  <si>
    <t>TRPL4</t>
  </si>
  <si>
    <t>UPKP3B</t>
  </si>
  <si>
    <t>02.162.616/0001-94</t>
  </si>
  <si>
    <t>CSMG3</t>
  </si>
  <si>
    <t>17.281.106/0001-03</t>
  </si>
  <si>
    <t>Água e Saneamento</t>
  </si>
  <si>
    <t>IGSN3</t>
  </si>
  <si>
    <t>08.159.965/0001-33</t>
  </si>
  <si>
    <t>SBSP3</t>
  </si>
  <si>
    <t>43.776.517/0001-80</t>
  </si>
  <si>
    <t>SAPR3</t>
  </si>
  <si>
    <t>76.484.013/0001-45</t>
  </si>
  <si>
    <t>SAPR4</t>
  </si>
  <si>
    <t>SAPR11</t>
  </si>
  <si>
    <t>CEGR3</t>
  </si>
  <si>
    <t>33.938.119/0001-69</t>
  </si>
  <si>
    <t>Gás</t>
  </si>
  <si>
    <t>CGAS3</t>
  </si>
  <si>
    <t>61.856.571/0001-17</t>
  </si>
  <si>
    <t>CGAS5</t>
  </si>
  <si>
    <t>ABCB4</t>
  </si>
  <si>
    <t>28.195.667/0001-06</t>
  </si>
  <si>
    <t>Financeiro</t>
  </si>
  <si>
    <t>Intermediários Financeiros</t>
  </si>
  <si>
    <t>RPAD3</t>
  </si>
  <si>
    <t>17.167.396/0001-69</t>
  </si>
  <si>
    <t>RPAD5</t>
  </si>
  <si>
    <t>RPAD6</t>
  </si>
  <si>
    <t>BRIV3</t>
  </si>
  <si>
    <t>60.770.336/0001-65</t>
  </si>
  <si>
    <t>BRIV4</t>
  </si>
  <si>
    <t>BAZA3</t>
  </si>
  <si>
    <t>04.902.979/0001-44</t>
  </si>
  <si>
    <t>BMGB4</t>
  </si>
  <si>
    <t>61.186.680/0001-74</t>
  </si>
  <si>
    <t>BIDI3</t>
  </si>
  <si>
    <t>18.945.670/0001-46</t>
  </si>
  <si>
    <t>BIDI4</t>
  </si>
  <si>
    <t>BIDI11</t>
  </si>
  <si>
    <t>BPAN4</t>
  </si>
  <si>
    <t>59.285.411/0001-13</t>
  </si>
  <si>
    <t>BGIP3</t>
  </si>
  <si>
    <t>13.009.717/0001-46</t>
  </si>
  <si>
    <t>BGIP4</t>
  </si>
  <si>
    <t>BEES3</t>
  </si>
  <si>
    <t>28.127.603/0001-78</t>
  </si>
  <si>
    <t>BEES4</t>
  </si>
  <si>
    <t>BRSR3</t>
  </si>
  <si>
    <t>92.702.067/0001-96</t>
  </si>
  <si>
    <t>BRSR5</t>
  </si>
  <si>
    <t>BRSR6</t>
  </si>
  <si>
    <t>60.746.948/0001-12</t>
  </si>
  <si>
    <t>BBDC4</t>
  </si>
  <si>
    <t>BBAS3</t>
  </si>
  <si>
    <t>00.000.000/0001-91</t>
  </si>
  <si>
    <t>BSLI3</t>
  </si>
  <si>
    <t>00.000.208/0001-00</t>
  </si>
  <si>
    <t>BSLI4</t>
  </si>
  <si>
    <t>BPAC3</t>
  </si>
  <si>
    <t>30.306.294/0001-45</t>
  </si>
  <si>
    <t>BPAC5</t>
  </si>
  <si>
    <t>BPAC11</t>
  </si>
  <si>
    <t>IDVL3</t>
  </si>
  <si>
    <t>61.024.352/0001-71</t>
  </si>
  <si>
    <t>IDVL4</t>
  </si>
  <si>
    <t>ITSA4</t>
  </si>
  <si>
    <t>61.532.644/0001-15</t>
  </si>
  <si>
    <t>ITSA3</t>
  </si>
  <si>
    <t>60.872.504/0001-23</t>
  </si>
  <si>
    <t>ITUB4</t>
  </si>
  <si>
    <t>BMEB3</t>
  </si>
  <si>
    <t>17.184.037/0001-10</t>
  </si>
  <si>
    <t>BMEB4</t>
  </si>
  <si>
    <t>BMIN3</t>
  </si>
  <si>
    <t>34.169.557/0001-72</t>
  </si>
  <si>
    <t>BMIN4</t>
  </si>
  <si>
    <t>BNBR3</t>
  </si>
  <si>
    <t>07.237.373/0001-20</t>
  </si>
  <si>
    <t>PINE4</t>
  </si>
  <si>
    <t>62.144.175/0001-20</t>
  </si>
  <si>
    <t>SANB3</t>
  </si>
  <si>
    <t>90.400.888/0001-42</t>
  </si>
  <si>
    <t>SANB4</t>
  </si>
  <si>
    <t>SANB11</t>
  </si>
  <si>
    <t>CRIV3</t>
  </si>
  <si>
    <t>17.167.412/0001-13</t>
  </si>
  <si>
    <t>Soc. Crédito e Financiamento</t>
  </si>
  <si>
    <t>CRIV4</t>
  </si>
  <si>
    <t>MERC3</t>
  </si>
  <si>
    <t>33.040.601/0001-87</t>
  </si>
  <si>
    <t>MERC4</t>
  </si>
  <si>
    <t>GPIV33</t>
  </si>
  <si>
    <t>07.857.850/0001-50</t>
  </si>
  <si>
    <t>Gestão de Recursos e Investimentos</t>
  </si>
  <si>
    <t>PPLA11</t>
  </si>
  <si>
    <t>15.073.274/0001-88</t>
  </si>
  <si>
    <t>09.346.601/0001-25</t>
  </si>
  <si>
    <t>CIEL3</t>
  </si>
  <si>
    <t>01.027.058/0001-91</t>
  </si>
  <si>
    <t>BRGE3</t>
  </si>
  <si>
    <t>17.193.806/0001-46</t>
  </si>
  <si>
    <t>Previdência e Seguros</t>
  </si>
  <si>
    <t>BRGE5</t>
  </si>
  <si>
    <t>BRGE6</t>
  </si>
  <si>
    <t>BRGE7</t>
  </si>
  <si>
    <t>BRGE8</t>
  </si>
  <si>
    <t>BRGE11</t>
  </si>
  <si>
    <t>BRGE12</t>
  </si>
  <si>
    <t>BBSE3</t>
  </si>
  <si>
    <t>17.344.597/0001-94</t>
  </si>
  <si>
    <t>IRBR3</t>
  </si>
  <si>
    <t>33.376.989/0001-91</t>
  </si>
  <si>
    <t>02.149.205/0001-69</t>
  </si>
  <si>
    <t>CSAB3</t>
  </si>
  <si>
    <t>15.144.017/0001-90</t>
  </si>
  <si>
    <t>CSAB4</t>
  </si>
  <si>
    <t>SULA3</t>
  </si>
  <si>
    <t>29.978.814/0001-87</t>
  </si>
  <si>
    <t>SULA4</t>
  </si>
  <si>
    <t>SULA11</t>
  </si>
  <si>
    <t>APER3</t>
  </si>
  <si>
    <t>11.721.921/0001-60</t>
  </si>
  <si>
    <t>Corretoras de Seguros</t>
  </si>
  <si>
    <t>WIZS3</t>
  </si>
  <si>
    <t>42.278.473/0001-03</t>
  </si>
  <si>
    <t>ALSO3</t>
  </si>
  <si>
    <t>05.878.397/0001-32</t>
  </si>
  <si>
    <t>Exploração de Imóveis</t>
  </si>
  <si>
    <t>BRML3</t>
  </si>
  <si>
    <t>06.977.745/0001-91</t>
  </si>
  <si>
    <t>BRPR3</t>
  </si>
  <si>
    <t>06.977.751/0001-49</t>
  </si>
  <si>
    <t>SYNE3</t>
  </si>
  <si>
    <t>08.801.621/0001-86</t>
  </si>
  <si>
    <t>GSHP3</t>
  </si>
  <si>
    <t>08.764.621/0001-53</t>
  </si>
  <si>
    <t>HBTS3</t>
  </si>
  <si>
    <t>87.762.563/0001-03</t>
  </si>
  <si>
    <t>HBTS5</t>
  </si>
  <si>
    <t>HBTS6</t>
  </si>
  <si>
    <t>IGBR3</t>
  </si>
  <si>
    <t>43.185.362/0001-07</t>
  </si>
  <si>
    <t>IGTA3</t>
  </si>
  <si>
    <t>51.218.147/0001-93</t>
  </si>
  <si>
    <t>JPSA3</t>
  </si>
  <si>
    <t>60.543.816/0001-93</t>
  </si>
  <si>
    <t>LOGG3</t>
  </si>
  <si>
    <t>09.041.168/0001-10</t>
  </si>
  <si>
    <t>MNZC3B</t>
  </si>
  <si>
    <t>02.664.042/0001-52</t>
  </si>
  <si>
    <t>MULT3</t>
  </si>
  <si>
    <t>07.816.890/0001-53</t>
  </si>
  <si>
    <t>SCAR3</t>
  </si>
  <si>
    <t>29.780.061/0001-09</t>
  </si>
  <si>
    <t>BBRK3</t>
  </si>
  <si>
    <t>08.613.550/0001-98</t>
  </si>
  <si>
    <t>Intermediação Imobiliária</t>
  </si>
  <si>
    <t>LPSB3</t>
  </si>
  <si>
    <t>08.078.847/0001-09</t>
  </si>
  <si>
    <t>MOAR3</t>
  </si>
  <si>
    <t>33.102.476/0001-92</t>
  </si>
  <si>
    <t>Holdings Diversificadas</t>
  </si>
  <si>
    <t>PEAB3</t>
  </si>
  <si>
    <t>01.938.783/0001-11</t>
  </si>
  <si>
    <t>PEAB4</t>
  </si>
  <si>
    <t>QVQP3B</t>
  </si>
  <si>
    <t>01.851.771/0001-55</t>
  </si>
  <si>
    <t>Outros</t>
  </si>
  <si>
    <t>ALEF3B</t>
  </si>
  <si>
    <t>02.217.319/0001-07</t>
  </si>
  <si>
    <t>ATOM3</t>
  </si>
  <si>
    <t>00.359.742/0001-08</t>
  </si>
  <si>
    <t>BETP3B</t>
  </si>
  <si>
    <t>02.762.124/0001-30</t>
  </si>
  <si>
    <t>CABI3B</t>
  </si>
  <si>
    <t>04.030.182/0001-02</t>
  </si>
  <si>
    <t>CACO3B</t>
  </si>
  <si>
    <t>04.031.213/0001-31</t>
  </si>
  <si>
    <t>MAPT3</t>
  </si>
  <si>
    <t>93.828.986/0001-73</t>
  </si>
  <si>
    <t>MAPT4</t>
  </si>
  <si>
    <t>OPGM3B</t>
  </si>
  <si>
    <t>02.796.775/0001-40</t>
  </si>
  <si>
    <t>JBDU3</t>
  </si>
  <si>
    <t>60.637.238/0001-54</t>
  </si>
  <si>
    <t>JBDU4</t>
  </si>
  <si>
    <t>OPHE3B</t>
  </si>
  <si>
    <t>02.318.346/0001-68</t>
  </si>
  <si>
    <t>PRPT3B</t>
  </si>
  <si>
    <t>02.992.449/0001-09</t>
  </si>
  <si>
    <t>OPSE3B</t>
  </si>
  <si>
    <t>02.062.747/0001-08</t>
  </si>
  <si>
    <t>OPTS3B</t>
  </si>
  <si>
    <t>01.957.772/0001-89</t>
  </si>
  <si>
    <t>HBSA3</t>
  </si>
  <si>
    <t>12.648.327/0001-53</t>
  </si>
  <si>
    <t>ALPK3</t>
  </si>
  <si>
    <t>60.537.263/0001-66</t>
  </si>
  <si>
    <t>Serviços</t>
  </si>
  <si>
    <t>LAVV3</t>
  </si>
  <si>
    <t>26.462.693/0001-28</t>
  </si>
  <si>
    <t>PLPL3</t>
  </si>
  <si>
    <t>24.230.275/0001-80</t>
  </si>
  <si>
    <t>MELK3</t>
  </si>
  <si>
    <t>12.181.987/0001-77</t>
  </si>
  <si>
    <t>CURY3</t>
  </si>
  <si>
    <t>08.797.760/0001-83</t>
  </si>
  <si>
    <t>BOAS3</t>
  </si>
  <si>
    <t>11.725.176/0001-27</t>
  </si>
  <si>
    <t>SEQL3</t>
  </si>
  <si>
    <t>01.599.101/0001-93</t>
  </si>
  <si>
    <t>Logística</t>
  </si>
  <si>
    <t>GMAT3</t>
  </si>
  <si>
    <t>24.990.777/0001-09</t>
  </si>
  <si>
    <t>PETZ3</t>
  </si>
  <si>
    <t>18.328.118/0001-09</t>
  </si>
  <si>
    <t>AMBP3</t>
  </si>
  <si>
    <t>12.648.266/0001-24</t>
  </si>
  <si>
    <t>água e Saneamento</t>
  </si>
  <si>
    <t>DMVF3</t>
  </si>
  <si>
    <t>12.108.897/0001-50</t>
  </si>
  <si>
    <t>SOMA3</t>
  </si>
  <si>
    <t>10.285.590/0001-08</t>
  </si>
  <si>
    <t>Tecidos. Vestuário e Calçados</t>
  </si>
  <si>
    <t>LJQQ3</t>
  </si>
  <si>
    <t>96.418.264/0218-02</t>
  </si>
  <si>
    <t>PGMN3</t>
  </si>
  <si>
    <t>06.626.253/0001-51</t>
  </si>
  <si>
    <t>AERI3</t>
  </si>
  <si>
    <t>12.528.708/0001-07</t>
  </si>
  <si>
    <t>ENJU3</t>
  </si>
  <si>
    <t>16.922.038/0001-51</t>
  </si>
  <si>
    <t>Programas e Serviço</t>
  </si>
  <si>
    <t>CASH3</t>
  </si>
  <si>
    <t>14.110.585/0001-07</t>
  </si>
  <si>
    <t>NGRD3</t>
  </si>
  <si>
    <t>10.139.870/0001-08</t>
  </si>
  <si>
    <t>RDOR3</t>
  </si>
  <si>
    <t>06.047.087/0001-39</t>
  </si>
  <si>
    <t>Serv.Méd.Hospit..Análises e Diagnósticos</t>
  </si>
  <si>
    <t>RRRP3</t>
  </si>
  <si>
    <t>12.091.809/0001-55</t>
  </si>
  <si>
    <t>Petróleo. Gás e Biocombustíveis</t>
  </si>
  <si>
    <t>Exploração. Refino e Distribuição</t>
  </si>
  <si>
    <t>TFCO4</t>
  </si>
  <si>
    <t>59.418.806/0001-47</t>
  </si>
  <si>
    <t>Consumo cíclico</t>
  </si>
  <si>
    <t>Vestuários</t>
  </si>
  <si>
    <t>ESPA3</t>
  </si>
  <si>
    <t xml:space="preserve">	26.659.061/0001-59</t>
  </si>
  <si>
    <t>Saúde e estética</t>
  </si>
  <si>
    <t>VAMO3</t>
  </si>
  <si>
    <t>23.373.000/0001-32</t>
  </si>
  <si>
    <t>INTB3</t>
  </si>
  <si>
    <t>82.901.000/0001-27</t>
  </si>
  <si>
    <t>MOSI3</t>
  </si>
  <si>
    <t>09.083.175/0001-84</t>
  </si>
  <si>
    <t>MBLY3</t>
  </si>
  <si>
    <t>31.553.627/0001-01</t>
  </si>
  <si>
    <t>Varejo de móveis</t>
  </si>
  <si>
    <t>POWE3</t>
  </si>
  <si>
    <t>26.735.020/0001-02</t>
  </si>
  <si>
    <t>JALL3</t>
  </si>
  <si>
    <t>02.635.522/0001-95</t>
  </si>
  <si>
    <t>BMOB3</t>
  </si>
  <si>
    <t>09.042.817/0001-05</t>
  </si>
  <si>
    <t>CSED3</t>
  </si>
  <si>
    <t>62.984.091/0001-02</t>
  </si>
  <si>
    <t xml:space="preserve">Consumo Cíclico </t>
  </si>
  <si>
    <t>HBRE3</t>
  </si>
  <si>
    <t>14.785.152/0001-51</t>
  </si>
  <si>
    <t>OPCT3</t>
  </si>
  <si>
    <t>09.114.805/0001-30</t>
  </si>
  <si>
    <t>WEST3</t>
  </si>
  <si>
    <t>14.776.142/0001-50</t>
  </si>
  <si>
    <t>Móveis e decoração</t>
  </si>
  <si>
    <t>ELMD3</t>
  </si>
  <si>
    <t>09.347.516/0001-81</t>
  </si>
  <si>
    <t xml:space="preserve">Mídia </t>
  </si>
  <si>
    <t>Publicidade e Propaganda</t>
  </si>
  <si>
    <t>CMIN3</t>
  </si>
  <si>
    <t>08.902.291/0001-15</t>
  </si>
  <si>
    <t xml:space="preserve">Mineração </t>
  </si>
  <si>
    <t>ORVR3</t>
  </si>
  <si>
    <t>11.421.994/0001-36</t>
  </si>
  <si>
    <t xml:space="preserve">Utilidade Pública </t>
  </si>
  <si>
    <t xml:space="preserve">Água e Saneamento </t>
  </si>
  <si>
    <t>ASAI3</t>
  </si>
  <si>
    <t>06.057.223/0001-71</t>
  </si>
  <si>
    <t xml:space="preserve">Consumo não Cíclico </t>
  </si>
  <si>
    <t xml:space="preserve">Comércio e Distribuição </t>
  </si>
  <si>
    <t>SIMH3</t>
  </si>
  <si>
    <t>07.415.333/0001-20</t>
  </si>
  <si>
    <t xml:space="preserve">Financeiro </t>
  </si>
  <si>
    <t xml:space="preserve">Holdings Diversificadas </t>
  </si>
  <si>
    <t>CXSE3</t>
  </si>
  <si>
    <t>22.543.331/0001-00</t>
  </si>
  <si>
    <t>SOJA3</t>
  </si>
  <si>
    <t>10.807.374/0001-77</t>
  </si>
  <si>
    <t>BLAU3</t>
  </si>
  <si>
    <t>58.430.828/0001-60</t>
  </si>
  <si>
    <t>MATD3</t>
  </si>
  <si>
    <t>16.676.520/0001-59</t>
  </si>
  <si>
    <t>GGPS3</t>
  </si>
  <si>
    <t>09.229.201/0001-30</t>
  </si>
  <si>
    <t>Serviços diversos</t>
  </si>
  <si>
    <t>NINJ3</t>
  </si>
  <si>
    <t>14.127.813/0001-51</t>
  </si>
  <si>
    <t xml:space="preserve"> Programas e Serviços</t>
  </si>
  <si>
    <t>ATMP3</t>
  </si>
  <si>
    <t>04.032.433/0001-80</t>
  </si>
  <si>
    <t>BRBI11</t>
  </si>
  <si>
    <t>10.739.356/0001-03</t>
  </si>
  <si>
    <t>ALLD3</t>
  </si>
  <si>
    <t>20.247.322/0001-47</t>
  </si>
  <si>
    <t xml:space="preserve">Comércio  </t>
  </si>
  <si>
    <t xml:space="preserve">Viagens e Lazer </t>
  </si>
  <si>
    <t>CBAV3</t>
  </si>
  <si>
    <t>61.409.892/0001-73</t>
  </si>
  <si>
    <t xml:space="preserve">Materiais Básicos </t>
  </si>
  <si>
    <t>AGXY3</t>
  </si>
  <si>
    <t>21.240.146/0001-84</t>
  </si>
  <si>
    <t>LVTC3</t>
  </si>
  <si>
    <t xml:space="preserve">05.917.486/0001-40
</t>
  </si>
  <si>
    <t>TRAD3</t>
  </si>
  <si>
    <t>26.345.998/0001-50</t>
  </si>
  <si>
    <t>ARML3</t>
  </si>
  <si>
    <t>00.242.184/0001-04</t>
  </si>
  <si>
    <t xml:space="preserve">Diversos </t>
  </si>
  <si>
    <t xml:space="preserve"> Aluguel de máquinas e equipamentos</t>
  </si>
  <si>
    <t>CLSA3</t>
  </si>
  <si>
    <t>03.802.115/0001-98</t>
  </si>
  <si>
    <t>Desenvolvimento E Licenciamento de Programas de Computador Customizáveis</t>
  </si>
  <si>
    <t>BRIT3</t>
  </si>
  <si>
    <t>19.796.586/0001-70</t>
  </si>
  <si>
    <t>Participação em Sociedades Cujas Atividades Estejam Relacionadas A Serviços de Telecomunicações E Tecnologia</t>
  </si>
  <si>
    <t>RAIZ4</t>
  </si>
  <si>
    <t>33.453.598/0001-23</t>
  </si>
  <si>
    <t xml:space="preserve">Petróleo. Gás e Biocombustíveis </t>
  </si>
  <si>
    <t>MODL3</t>
  </si>
  <si>
    <t>30.723.886/0001-62</t>
  </si>
  <si>
    <t>MODL4</t>
  </si>
  <si>
    <t>GETT3</t>
  </si>
  <si>
    <t>10.440.482/0001-54</t>
  </si>
  <si>
    <t>GETT4</t>
  </si>
  <si>
    <t>GETT11</t>
  </si>
  <si>
    <t>IGTI3</t>
  </si>
  <si>
    <t>IGTI4</t>
  </si>
  <si>
    <t>IGTI11</t>
  </si>
  <si>
    <t>MLAS3</t>
  </si>
  <si>
    <t>59.717.553/0001-02</t>
  </si>
  <si>
    <t xml:space="preserve">Tecnologia da Informação </t>
  </si>
  <si>
    <t xml:space="preserve">Computadores e Equipamentos </t>
  </si>
  <si>
    <t>MODL11</t>
  </si>
  <si>
    <t>ABCP11</t>
  </si>
  <si>
    <t>F-01.201.140/0001-90  A-72.600.026/0001-81</t>
  </si>
  <si>
    <t>Shopping/Varejo</t>
  </si>
  <si>
    <t>RIO BRAVO</t>
  </si>
  <si>
    <t>AFCR11</t>
  </si>
  <si>
    <t>F-32.065.364/0001-46 A-02.671.743/0001-19</t>
  </si>
  <si>
    <t>Recebíveis Imobiliários</t>
  </si>
  <si>
    <t>CM CAPITAL MARKETS</t>
  </si>
  <si>
    <t>AFOF11</t>
  </si>
  <si>
    <t>F-22.169.716/0001-50 A-13.486.793/0001-42</t>
  </si>
  <si>
    <t>Fundo de Fundos</t>
  </si>
  <si>
    <t>BRL TRUST</t>
  </si>
  <si>
    <t>AIEC11</t>
  </si>
  <si>
    <t>F-35.765.826/0001-26 A-05.389.174/0001-01</t>
  </si>
  <si>
    <t>Lajes Comerciais</t>
  </si>
  <si>
    <t>MODAL</t>
  </si>
  <si>
    <t>ALMI11</t>
  </si>
  <si>
    <t>F-07.122.725/0001-00 A-59.281.253/0001-23</t>
  </si>
  <si>
    <t>BTG PACTUAL</t>
  </si>
  <si>
    <t>ALZR11</t>
  </si>
  <si>
    <t>F-28.737.771/0001-85 A-59.281.253/0001-23</t>
  </si>
  <si>
    <t>Híbrido</t>
  </si>
  <si>
    <t>ANCR11B</t>
  </si>
  <si>
    <t>GERAÇÃO FUTURO</t>
  </si>
  <si>
    <t>AQLL11</t>
  </si>
  <si>
    <t>F-13.555.918/0001-49 A-00.329.598/0001-67</t>
  </si>
  <si>
    <t>ÍNDIGO INVESTIMENTOS</t>
  </si>
  <si>
    <t>ARFI11B</t>
  </si>
  <si>
    <t>F-14.069.202/0001-02 A-00.329.598/0001-67</t>
  </si>
  <si>
    <t>FOCO DTVM</t>
  </si>
  <si>
    <t>ARRI11</t>
  </si>
  <si>
    <t>F-32.006.821/0001-21 A-36.113.876/0001-91</t>
  </si>
  <si>
    <t>OLIVEIRA TRUST</t>
  </si>
  <si>
    <t>ATCR11</t>
  </si>
  <si>
    <t>F-14.631.148/0001-39 A-42.066.258/0001-30</t>
  </si>
  <si>
    <t>Hoteis</t>
  </si>
  <si>
    <t>GRADUAL</t>
  </si>
  <si>
    <t>ATSA11</t>
  </si>
  <si>
    <t>F-12.809.972/0001-00 A-07.253.654/0001-76</t>
  </si>
  <si>
    <t>HEDGE INVESTMENTS</t>
  </si>
  <si>
    <t>BARI11</t>
  </si>
  <si>
    <t>F-29.267.567/0001-00 A-36.113.876/0001-91</t>
  </si>
  <si>
    <t>BBFI11B</t>
  </si>
  <si>
    <t>F-07.000.400/0001-46 A-59.281.253/0001-23</t>
  </si>
  <si>
    <t>Agencias Bancárias</t>
  </si>
  <si>
    <t>BBIM11</t>
  </si>
  <si>
    <t>F-20.716.161/0001-93 A-30.822.936/0001-69</t>
  </si>
  <si>
    <t>BB GESTAO DE RECURSOS DTVM</t>
  </si>
  <si>
    <t>BBPO11</t>
  </si>
  <si>
    <t>F-14.410.722/0001-29 A-03.384.738/0001-98</t>
  </si>
  <si>
    <t>VOTORANTIM ASSET</t>
  </si>
  <si>
    <t>BBRC11</t>
  </si>
  <si>
    <t>F-12.681.340/0001-04 A-03.384.738/0001-98</t>
  </si>
  <si>
    <t>BBVJ11</t>
  </si>
  <si>
    <t>F-10.347.985/0001-80 A-07.253.654/0001-76</t>
  </si>
  <si>
    <t>BCFF11</t>
  </si>
  <si>
    <t>F-11.026.627/0001-38 A-59.281.253/0001-23</t>
  </si>
  <si>
    <t>BCIA11</t>
  </si>
  <si>
    <t>F-20.216.935/0001-17 A-60.746.948/0001-12</t>
  </si>
  <si>
    <t>BANCO BRADESCO</t>
  </si>
  <si>
    <t>BCRI11</t>
  </si>
  <si>
    <t>F-22.219.335/0001-38 A-33.644.196/0001-06</t>
  </si>
  <si>
    <t>BICR11</t>
  </si>
  <si>
    <t>F-34.007.109/0001-72 A-18.945.670/0001-46</t>
  </si>
  <si>
    <t>INTER DTVM</t>
  </si>
  <si>
    <t>BJRC11</t>
  </si>
  <si>
    <t>F-13.371.132/0001-71 A-03.017.677/0001-20</t>
  </si>
  <si>
    <t>BANCO J. SAFRA</t>
  </si>
  <si>
    <t>BLCP11</t>
  </si>
  <si>
    <t>F-35.652.060/0001-73 A-59.281.253/0001-23</t>
  </si>
  <si>
    <t>Logisticos</t>
  </si>
  <si>
    <t>BLMO11</t>
  </si>
  <si>
    <t>F-34.895.894/0001-47 A-13.486.793/0001-42</t>
  </si>
  <si>
    <t>BMII11</t>
  </si>
  <si>
    <t>F-02.027.437/0001-44 A-72.600.026/0001-81</t>
  </si>
  <si>
    <t>BMLC11B</t>
  </si>
  <si>
    <t>F-14.376.247/0001-11 A-59.281.253/0001-23</t>
  </si>
  <si>
    <t>BNFS11</t>
  </si>
  <si>
    <t>F-15.570.431/0001-60 A-36.113.876/0001-91</t>
  </si>
  <si>
    <t>BPFF11</t>
  </si>
  <si>
    <t>F-17.324.357/0001-28 A-27.652.684/0001-62</t>
  </si>
  <si>
    <t>GENIAL INVESTIMENTOS</t>
  </si>
  <si>
    <t>BPMA11</t>
  </si>
  <si>
    <t>BPML11</t>
  </si>
  <si>
    <t>F-33.046.142/0001-49 A-59.281.253/0001-23</t>
  </si>
  <si>
    <t>BPRP11</t>
  </si>
  <si>
    <t>F-29.800.650/0001-01 A-59.281.253/0001-23</t>
  </si>
  <si>
    <t>BRCO11</t>
  </si>
  <si>
    <t>F-20.748.515/0001-81 A-36.113.876/0001-91</t>
  </si>
  <si>
    <t>BRCR11</t>
  </si>
  <si>
    <t>F-08.924.783/0001-01 A-59.281.253/0001-23</t>
  </si>
  <si>
    <t>BREV11</t>
  </si>
  <si>
    <t>F-26.195.121/0001-20 A-44.077.014/0001-89</t>
  </si>
  <si>
    <t>BR-CAPITAL DTVM</t>
  </si>
  <si>
    <t>BRHT11B</t>
  </si>
  <si>
    <t>F-15.461.076/0001-91 A-28.048.783/0001-00</t>
  </si>
  <si>
    <t>ELITE CCVM</t>
  </si>
  <si>
    <t>BRIM11</t>
  </si>
  <si>
    <t>F-23.964.843/0001-03 A-13.486.793/0001-42</t>
  </si>
  <si>
    <t>Incorporação Residencial</t>
  </si>
  <si>
    <t>BTCR11</t>
  </si>
  <si>
    <t>F-29.787.928/0001-40 A-59.281.253/0001-23</t>
  </si>
  <si>
    <t>BTLG11</t>
  </si>
  <si>
    <t>F-11.839.593/0001-09 A-59.281.253/0001-23</t>
  </si>
  <si>
    <t>BTSG11</t>
  </si>
  <si>
    <t>F-36.098.375/0001-83 A-18.945.670/0001-46</t>
  </si>
  <si>
    <t>Incorporação</t>
  </si>
  <si>
    <t>INTER</t>
  </si>
  <si>
    <t>BVAR11</t>
  </si>
  <si>
    <t>F-21.126.204/0001-43 A-72.600.026/0001-81</t>
  </si>
  <si>
    <t>BZLI11</t>
  </si>
  <si>
    <t>F-14.074.706/0001-02 A-00.329.598/0001-67</t>
  </si>
  <si>
    <t>CARE11</t>
  </si>
  <si>
    <t>F-13.584.584/0001-31 A-67.030.395/0001-46</t>
  </si>
  <si>
    <t>PLANNER</t>
  </si>
  <si>
    <t>CBOP11</t>
  </si>
  <si>
    <t>F-17.144.039/0001-85 A-61.809.182/0001-30</t>
  </si>
  <si>
    <t>CEOC11</t>
  </si>
  <si>
    <t>F-15.799.397/0001-09 A-59.281.253/0001-23</t>
  </si>
  <si>
    <t>CJFI11</t>
  </si>
  <si>
    <t>F-23.582.914/0001-03 A-59.281.253/0001-23</t>
  </si>
  <si>
    <t>CNES11</t>
  </si>
  <si>
    <t>F-13.551.286/0001-45 A-59.281.253/0001-23</t>
  </si>
  <si>
    <t>CPFF11</t>
  </si>
  <si>
    <t>F-34.081.611/0001-23 A-59.281.253/0001-23</t>
  </si>
  <si>
    <t>CPTS11B</t>
  </si>
  <si>
    <t>F-18.979.895/0001-13 A-59.281.253/0001-23</t>
  </si>
  <si>
    <t>CRFF11</t>
  </si>
  <si>
    <t>F-31.887.401/0001-39 A-00.360.305/0001-04</t>
  </si>
  <si>
    <t>CAIXA ECONOMICA FEDERAL</t>
  </si>
  <si>
    <t>CTXT11</t>
  </si>
  <si>
    <t>F-00.762.723/0001-28 A-72.600.026/0001-81</t>
  </si>
  <si>
    <t>CVBI11</t>
  </si>
  <si>
    <t>F-28.729.197/0001-13 A13.486.793/0001-42</t>
  </si>
  <si>
    <t>CXCE11B</t>
  </si>
  <si>
    <t>F-10.991.914/0001-15 A-00.360.305/0001-04</t>
  </si>
  <si>
    <t>CXRI11</t>
  </si>
  <si>
    <t>F-17.098.794/0001-70 A-00.360.305/0001-04</t>
  </si>
  <si>
    <t>CXTL11</t>
  </si>
  <si>
    <t>F-12.887.506/0001-43 A-00.360.305/0001-04</t>
  </si>
  <si>
    <t>DAMT11B</t>
  </si>
  <si>
    <t>F-26.642.727/0001-66 A-59.281.253/0001-23</t>
  </si>
  <si>
    <t>DLMT11</t>
  </si>
  <si>
    <t>F-28.108.193/0001-18 A-67.030.395/0001-46</t>
  </si>
  <si>
    <t>DMAC11</t>
  </si>
  <si>
    <t>F-30.579.348/0001-46 A-36.113.876/0001-91</t>
  </si>
  <si>
    <t>DOMC11</t>
  </si>
  <si>
    <t>MONETAR DTVM</t>
  </si>
  <si>
    <t>DOVL11B</t>
  </si>
  <si>
    <t>F-10.522.648/0001-81 A-02.201.501/0001-61</t>
  </si>
  <si>
    <t>BNY MELLON</t>
  </si>
  <si>
    <t>DRIT11B</t>
  </si>
  <si>
    <t>F-10.456.810/0001-00 A-62.232.889/0001-90</t>
  </si>
  <si>
    <t>BANCO DAYCOVAL S/A</t>
  </si>
  <si>
    <t>EDFO11B</t>
  </si>
  <si>
    <t>F-06.175.262/0001-73 A36.113.876/0001-91</t>
  </si>
  <si>
    <t>EDGA11</t>
  </si>
  <si>
    <t>F-15.333.306/0001-37 A-59.281.253/0001-23</t>
  </si>
  <si>
    <t>ELDO11B</t>
  </si>
  <si>
    <t>F-13.022.994/0001-99 A-72.600.026/0001-81</t>
  </si>
  <si>
    <t>ERPA11</t>
  </si>
  <si>
    <t>F-31.469.385/0001-64 A-36.113.876/0001-91</t>
  </si>
  <si>
    <t>ESTQ11</t>
  </si>
  <si>
    <t>F-18.497.672/0001-10 A-36.113.876/0001-91</t>
  </si>
  <si>
    <t>EURO11</t>
  </si>
  <si>
    <t>F-05.437.916/0001-27 A-00.336.036/0001-40</t>
  </si>
  <si>
    <t>COINVALORES</t>
  </si>
  <si>
    <t>FAED11</t>
  </si>
  <si>
    <t>F-11.179.118/0001-45 A-59.281.253/0001-23</t>
  </si>
  <si>
    <t>Educacional</t>
  </si>
  <si>
    <t>FAMB11B</t>
  </si>
  <si>
    <t>F-05.562.312/0001-02 A-59.281.253/0001-23</t>
  </si>
  <si>
    <t>FATN11</t>
  </si>
  <si>
    <t>F-30.567.216/0001-02 A-44.077.014/0001-89</t>
  </si>
  <si>
    <t>FCAS11</t>
  </si>
  <si>
    <t>F-10.993.386/0001-33 A-59.281.253/0001-23</t>
  </si>
  <si>
    <t>FCFL11</t>
  </si>
  <si>
    <t>F-11.602.654/0001-01 A-59.281.253/0001-23</t>
  </si>
  <si>
    <t>FEXC11</t>
  </si>
  <si>
    <t>F-09.552.812/0001-14 A-59.281.253/0001-23</t>
  </si>
  <si>
    <t>FIGS11</t>
  </si>
  <si>
    <t>F-17.590.518/0001-25 A-07.253.654/0001-76</t>
  </si>
  <si>
    <t>FIIB11</t>
  </si>
  <si>
    <t>F-14.217.108/0001-45 A-00.336.036/0001-40</t>
  </si>
  <si>
    <t>FIIP11B</t>
  </si>
  <si>
    <t>F-08.696.175/0001-97 A-36.113.876/0001-91</t>
  </si>
  <si>
    <t>FINF11</t>
  </si>
  <si>
    <t>F-18.369.510/0001-04 A-67.030.395/0001-46</t>
  </si>
  <si>
    <t>FISC11</t>
  </si>
  <si>
    <t>F-12.804.013/0001-00 A-44.077.014/0001-89</t>
  </si>
  <si>
    <t>FISD11</t>
  </si>
  <si>
    <t>F-16.543.270/0001-89 A-42.066.258/0001-30</t>
  </si>
  <si>
    <t>FIVN11</t>
  </si>
  <si>
    <t>F-17.854.016/0001-64 A-36.113.876/0001-91</t>
  </si>
  <si>
    <t>FLCR11</t>
  </si>
  <si>
    <t>F-33.884.145/0001-51 A-13.486.793/0001-42</t>
  </si>
  <si>
    <t>FLMA11</t>
  </si>
  <si>
    <t>F-04.141.645/0001-03 A-44.077.014/0001-89</t>
  </si>
  <si>
    <t>FLRP11</t>
  </si>
  <si>
    <t>F-10.375.382/0001-91 A-59.281.253/0001-23</t>
  </si>
  <si>
    <t>FMOF11</t>
  </si>
  <si>
    <t>F-01.633.741/0001-72 A-00.336.036/0001-40</t>
  </si>
  <si>
    <t>FOFT11</t>
  </si>
  <si>
    <t>F-16.875.388/0001-04 A-07.253.654/0001-76</t>
  </si>
  <si>
    <t>FPAB11</t>
  </si>
  <si>
    <t>F-03.251.720/0001-18 A-00.336.036/0001-40</t>
  </si>
  <si>
    <t>FPNG11</t>
  </si>
  <si>
    <t>F-17.161.979/0001-82 A-44.077.014/0001-89</t>
  </si>
  <si>
    <t>FTCE11B</t>
  </si>
  <si>
    <t>F-01.235.622/0001-61 A-13.486.793/0001-42</t>
  </si>
  <si>
    <t>FTMJ11</t>
  </si>
  <si>
    <t>F-27.212.823/0001-37 A-42.066.258/0001-30</t>
  </si>
  <si>
    <t>FVBI11</t>
  </si>
  <si>
    <t>F-13.022.993/0001-44 A-59.281.253/0001-23</t>
  </si>
  <si>
    <t>FVPQ11</t>
  </si>
  <si>
    <t>F-00.332.266/0001-31 A-72.600.026/0001-81</t>
  </si>
  <si>
    <t>GCFF11</t>
  </si>
  <si>
    <t>F-35.652.154/0001-42 A-59.281.253/0001-23</t>
  </si>
  <si>
    <t>GESE11</t>
  </si>
  <si>
    <t>F-17.007.528/0001-95 A-36.113.876/0001-91</t>
  </si>
  <si>
    <t>GGRC11</t>
  </si>
  <si>
    <t>F-26.614.291/0001-00 A-02.671.743/0001-19</t>
  </si>
  <si>
    <t>GRLV11</t>
  </si>
  <si>
    <t>F-11.728.688/0001-47 A-61.809.182/0001-30</t>
  </si>
  <si>
    <t>GSFI11</t>
  </si>
  <si>
    <t>F-11.769.604/0001-13 A-67.030.395/0001-46</t>
  </si>
  <si>
    <t>GTWR11</t>
  </si>
  <si>
    <t>F-23.740.527/0001-58 A-03.384.738/0001-98</t>
  </si>
  <si>
    <t>GWIC11</t>
  </si>
  <si>
    <t>HAAA11</t>
  </si>
  <si>
    <t>F-27.445.482/0001-40 A-07.253.654/0001-76</t>
  </si>
  <si>
    <t>HABT11</t>
  </si>
  <si>
    <t>F-30.578.417/0001-05 A-22.610.500/0001-88</t>
  </si>
  <si>
    <t>VÓRTX</t>
  </si>
  <si>
    <t>HBRH11</t>
  </si>
  <si>
    <t>F-30.871.698/0001-81 A-13.486.793/0001-42</t>
  </si>
  <si>
    <t>HBTT11</t>
  </si>
  <si>
    <t>F-26.846.202/0001-42 A-22.610.500/0001-88</t>
  </si>
  <si>
    <t>HCRI11</t>
  </si>
  <si>
    <t>F-04.066.582/0001-60 A-59.281.253/0001-23</t>
  </si>
  <si>
    <t>Hospital</t>
  </si>
  <si>
    <t>HCTR11</t>
  </si>
  <si>
    <t>F-30.248.180/0001-96 A-22.610.500/0001-88</t>
  </si>
  <si>
    <t>HFOF11</t>
  </si>
  <si>
    <t>F-18.307.582/0001-19 A-07.253.654/0001-76</t>
  </si>
  <si>
    <t>HGBS11</t>
  </si>
  <si>
    <t>F-08.431.747/0001-06 A-07.253.654/0001-76</t>
  </si>
  <si>
    <t>HGCR11</t>
  </si>
  <si>
    <t>F-11.160.521/0001-22 A-61.809.182/0001-30</t>
  </si>
  <si>
    <t>HGFF11</t>
  </si>
  <si>
    <t>F-32.784.898/0001-22 A-61.809.182/0001-30</t>
  </si>
  <si>
    <t>HGPO11</t>
  </si>
  <si>
    <t>F-11.260.134/0001-68 A-61.809.182/0001-30</t>
  </si>
  <si>
    <t>HGRE11</t>
  </si>
  <si>
    <t>F-09.072.017/0001-29 A-61.809.182/0001-30</t>
  </si>
  <si>
    <t>F-29.641.226/0001-53 A-61.809.182/0001-30</t>
  </si>
  <si>
    <t>HLOG11</t>
  </si>
  <si>
    <t>F-27.486.542/0001-72 A-07.253.654/0001-76</t>
  </si>
  <si>
    <t>HMOC11</t>
  </si>
  <si>
    <t>F-14.733.211/0001-48 A-07.253.654/0001-76</t>
  </si>
  <si>
    <t>HOSI11</t>
  </si>
  <si>
    <t>F-34.081.631/0001-02 A-22.610.500/0001-88</t>
  </si>
  <si>
    <t>HPDP11</t>
  </si>
  <si>
    <t>F-35.586.415/0001-73 A-07.253.654/0001-76</t>
  </si>
  <si>
    <t>HRDF11</t>
  </si>
  <si>
    <t>F-16.929.519/0001-99 A-07.253.654/0001-76</t>
  </si>
  <si>
    <t>HREC11</t>
  </si>
  <si>
    <t>F-35.507.262/0001-21 A-07.253.654/0001-76</t>
  </si>
  <si>
    <t>HSML11</t>
  </si>
  <si>
    <t>F-32.892.018/0001-31 A-62.318.407/0001-19</t>
  </si>
  <si>
    <t>Santander Securities Services</t>
  </si>
  <si>
    <t>HTMX11</t>
  </si>
  <si>
    <t>F-08.706.065/0001-69 A-59.281.253/0001-23</t>
  </si>
  <si>
    <t>HUSC11</t>
  </si>
  <si>
    <t>F-28.851.767/0001-43 A-72.600.026/0001-81</t>
  </si>
  <si>
    <t>HUSI11</t>
  </si>
  <si>
    <t>F-30.017.492/0001-99 A-67.030.395/0001-46</t>
  </si>
  <si>
    <t>IBFF11</t>
  </si>
  <si>
    <t>F-33.721.517/0001-29 A-59.281.253/0001-23</t>
  </si>
  <si>
    <t>IFIE11</t>
  </si>
  <si>
    <t>F-36.293.425/0001-83 A-18.945.670/0001-46</t>
  </si>
  <si>
    <t>IFIX</t>
  </si>
  <si>
    <t>N/D</t>
  </si>
  <si>
    <t>IRDM11</t>
  </si>
  <si>
    <t>F-28.830.325/0001-10 A-59.281.253/0001-23</t>
  </si>
  <si>
    <t>JPPA11</t>
  </si>
  <si>
    <t>F-30.982.880/0001-00 A-22.610.500/0001-88</t>
  </si>
  <si>
    <t>JPPC11</t>
  </si>
  <si>
    <t>F-17.216.625/0001-98 A-11.758.741/0001-52</t>
  </si>
  <si>
    <t>BANCO FINAXIS</t>
  </si>
  <si>
    <t>JRDM11</t>
  </si>
  <si>
    <t>F-14.879.856/0001-93 A-59.281.253/0001-23</t>
  </si>
  <si>
    <t>JSIM11</t>
  </si>
  <si>
    <t>JSRE11</t>
  </si>
  <si>
    <t>JTPR11</t>
  </si>
  <si>
    <t>F-23.876.086/0001-16 A-00.806.535/0001-54</t>
  </si>
  <si>
    <t>KFOF11</t>
  </si>
  <si>
    <t>F-30.091.444/0001-40 A-62.418.140/0001-31</t>
  </si>
  <si>
    <t>KINP11</t>
  </si>
  <si>
    <t>F-24.070.076/0001-51 A-62.418.140/0001-31</t>
  </si>
  <si>
    <t>KNCR11</t>
  </si>
  <si>
    <t>F-16.706.958/0001-32 A-62.418.140/0001-31</t>
  </si>
  <si>
    <t>KNHY11</t>
  </si>
  <si>
    <t>F-30.130.708/0001-28 A-62.418.140/0001-31</t>
  </si>
  <si>
    <t>KNIP11</t>
  </si>
  <si>
    <t>F-24.960.430/0001-13 A-62.418.140/0001-31</t>
  </si>
  <si>
    <t>KNRE11</t>
  </si>
  <si>
    <t>F-14.423.780/0001-97 A-62.418.140/0001-31</t>
  </si>
  <si>
    <t>F-12.005.956/0001-65 A-62.418.140/0001-31</t>
  </si>
  <si>
    <t>LASC11</t>
  </si>
  <si>
    <t>F-30.248.158/0001-46 A-22.610.500/0001-88</t>
  </si>
  <si>
    <t>LATR11B</t>
  </si>
  <si>
    <t>F-17.209.378/0001-00 A-36.113.876/0001-91</t>
  </si>
  <si>
    <t>LGCP11</t>
  </si>
  <si>
    <t>F-34.598.181/0001-11 A-18.945.670/0001-46</t>
  </si>
  <si>
    <t>LOFT11B</t>
  </si>
  <si>
    <t>F-19.722.048/0001-31 A-05.389.174/0001-01</t>
  </si>
  <si>
    <t>LOFT13B</t>
  </si>
  <si>
    <t>LUGG11</t>
  </si>
  <si>
    <t>F-34.835.191/0001-23 A-18.945.670/0001-46</t>
  </si>
  <si>
    <t>LVBI11</t>
  </si>
  <si>
    <t>F-30.629.603/0001-18 A-59.281.253/0001-23</t>
  </si>
  <si>
    <t>MALL11</t>
  </si>
  <si>
    <t>F-26.499.833/0001-32 A-27.652.684/0001-62</t>
  </si>
  <si>
    <t>MAXR11</t>
  </si>
  <si>
    <t>F-11.274.415/0001-70 A-59.281.253/0001-23</t>
  </si>
  <si>
    <t>MBRF11</t>
  </si>
  <si>
    <t>F-13.500.306/0001-59 A-72.600.026/0001-81</t>
  </si>
  <si>
    <t>MCCI11</t>
  </si>
  <si>
    <t>F-23.648.935/0001-84 A-59.281.253/0001-23</t>
  </si>
  <si>
    <t>MFAI11</t>
  </si>
  <si>
    <t>F-32.397.369/0001-76 A-67.030.395/0001-46</t>
  </si>
  <si>
    <t>MFII11</t>
  </si>
  <si>
    <t>F-16.915.968/0001-88 A-00.806.535/0001-54</t>
  </si>
  <si>
    <t>MGFF11</t>
  </si>
  <si>
    <t>F-29.216.463/0001-77 A-59.281.253/0001-23</t>
  </si>
  <si>
    <t>MGHT11</t>
  </si>
  <si>
    <t>F-34.197.776/0001-65 A-59.281.253/0001-23</t>
  </si>
  <si>
    <t>MINT11</t>
  </si>
  <si>
    <t>F-19.872.887/0001-36 A-45.246.410/0001-55</t>
  </si>
  <si>
    <t>PLURAL</t>
  </si>
  <si>
    <t>MOFF11</t>
  </si>
  <si>
    <t>F-31.508.219/0001-20 A-36.113.876/0001-91</t>
  </si>
  <si>
    <t>MORE11</t>
  </si>
  <si>
    <t>F-34.197.727/0001-22 A-59.281.253/0001-23</t>
  </si>
  <si>
    <t>MSHP11</t>
  </si>
  <si>
    <t>BEM DTVM</t>
  </si>
  <si>
    <t>MTOF11</t>
  </si>
  <si>
    <t>F-22.862.226/0001-34 A-36.113.876/0001-91</t>
  </si>
  <si>
    <t>MTRS11</t>
  </si>
  <si>
    <t>F-38.293.921/0001-62 A-59.281.253/0001-23</t>
  </si>
  <si>
    <t>MVFI11</t>
  </si>
  <si>
    <t>F-23.537.203/0001-17 A-59.281.253/0001-23</t>
  </si>
  <si>
    <t>MXRF11</t>
  </si>
  <si>
    <t>F-97.521.225/0001-25 A-59.281.253/0001-23</t>
  </si>
  <si>
    <t>NCHB11</t>
  </si>
  <si>
    <t>F-18.085.673/0001-57 A-59.281.253/0001-23</t>
  </si>
  <si>
    <t>NEWL11</t>
  </si>
  <si>
    <t>F-32.527.626/0001-47 A-45.246.410/0001-55</t>
  </si>
  <si>
    <t>BRASIL PLURAL</t>
  </si>
  <si>
    <t>NEWU11</t>
  </si>
  <si>
    <t>F-14.793.782/0001-78 A-45.246.410/0001-55</t>
  </si>
  <si>
    <t>NPAR11</t>
  </si>
  <si>
    <t>F-24.814.916/0001-43 A-67.030.395/0001-46</t>
  </si>
  <si>
    <t>NSLU11</t>
  </si>
  <si>
    <t>F-08.014.513/0001-63 A-59.281.253/0001-23</t>
  </si>
  <si>
    <t>NVHO11</t>
  </si>
  <si>
    <t>F-17.025.970/0001-44 A-45.246.410/0001-55</t>
  </si>
  <si>
    <t>NVIF11B</t>
  </si>
  <si>
    <t>F-22003469/0001-17 A-05.389.174/0001-01</t>
  </si>
  <si>
    <t>ONEF11</t>
  </si>
  <si>
    <t>F-12.948.291/0001-23 A-72.600.026/0001-81</t>
  </si>
  <si>
    <t>ORPD11</t>
  </si>
  <si>
    <t>F-19.107.604/0001-60 A-67.030.395/0001-46</t>
  </si>
  <si>
    <t>OUCY11</t>
  </si>
  <si>
    <t>BANCO OURINVEST S.A.</t>
  </si>
  <si>
    <t>OUFF11</t>
  </si>
  <si>
    <t>F-30.791.386/0001-68 A-78.632.767/0001-20</t>
  </si>
  <si>
    <t>OUJP11</t>
  </si>
  <si>
    <t>F-26.091.656/0001-50 A-03.317.692/0001-94</t>
  </si>
  <si>
    <t>FINAXIS CORRETORA</t>
  </si>
  <si>
    <t>OULG11</t>
  </si>
  <si>
    <t>F-13.974.819/0001-00 A-78.632.767/0001-20</t>
  </si>
  <si>
    <t>PABY11</t>
  </si>
  <si>
    <t>F-00.613.094/0001-74 A-33.923.111/0001-29</t>
  </si>
  <si>
    <t>BRKB DTVM</t>
  </si>
  <si>
    <t>PATB11</t>
  </si>
  <si>
    <t>F-14.788.492/0001-36 A-59.281.253/0001-23</t>
  </si>
  <si>
    <t>PATC11</t>
  </si>
  <si>
    <t>F-30.048.651/0001-12 A-05.389.174/0001-01</t>
  </si>
  <si>
    <t>BANCO MODAL S.A.</t>
  </si>
  <si>
    <t>PATL11</t>
  </si>
  <si>
    <t>F-35.754.164/0001-99 A-22.610.500/0001-88</t>
  </si>
  <si>
    <t>VÓRTEX DTVM LTDA</t>
  </si>
  <si>
    <t>PBLV11</t>
  </si>
  <si>
    <t>F-31.962.875/0001-06 A-13.486.793/0001-42</t>
  </si>
  <si>
    <t>PBYR11</t>
  </si>
  <si>
    <t>PLCR11</t>
  </si>
  <si>
    <t>F-32.527.683/0001-26 A-45.246.410/0001-55</t>
  </si>
  <si>
    <t>PLRI11</t>
  </si>
  <si>
    <t>F-14.080.689/0001-16 A-36.113.876/0001-91</t>
  </si>
  <si>
    <t>PORD11</t>
  </si>
  <si>
    <t>F-17.156.502/0001-09 A-36.113.876/0001-91</t>
  </si>
  <si>
    <t>PQDP11</t>
  </si>
  <si>
    <t>F-10.869.155/0001-12 A-59.281.253/0001-23</t>
  </si>
  <si>
    <t>PRGD11</t>
  </si>
  <si>
    <t>PRSN11B</t>
  </si>
  <si>
    <t>F-14.056.001/0001-62 A-36.113.876/0001-91</t>
  </si>
  <si>
    <t>PRSV11</t>
  </si>
  <si>
    <t>F-11.281.322/0001-72 A-07.253.654/0001-76</t>
  </si>
  <si>
    <t>PRTS11</t>
  </si>
  <si>
    <t>F-22.957.521/0001-74 A-30.723.886/0001-62</t>
  </si>
  <si>
    <t>PVBI11</t>
  </si>
  <si>
    <t>F-35.652.102/0001-76 A-59.281.253/0001-23</t>
  </si>
  <si>
    <t>QAGR11</t>
  </si>
  <si>
    <t>F-32.754.734/0001-52 A-59.281.253/0001-23</t>
  </si>
  <si>
    <t>QREC11</t>
  </si>
  <si>
    <t>RBAG11</t>
  </si>
  <si>
    <t>CITIBANK DTVM</t>
  </si>
  <si>
    <t>RBBV11</t>
  </si>
  <si>
    <t>F-16.915.868/0001-51 A-00.360.305/0001-04</t>
  </si>
  <si>
    <t>RBCB11</t>
  </si>
  <si>
    <t>F-12.659.641/0001-31 A-72.600.026/0001-81</t>
  </si>
  <si>
    <t>RBCO11</t>
  </si>
  <si>
    <t>F-31.894.369/0001-19 A-13.486.793/0001-42</t>
  </si>
  <si>
    <t>RBDS11</t>
  </si>
  <si>
    <t>F-11.945.604/0001-27 A-36.113.876/0001-91</t>
  </si>
  <si>
    <t>RBED11</t>
  </si>
  <si>
    <t>F-13.873.457/0001-52 A-72.600.026/0001-81</t>
  </si>
  <si>
    <t>RBFF11</t>
  </si>
  <si>
    <t>F-17.329.029/0001-14 A-13.486.793/0001-42</t>
  </si>
  <si>
    <t>RBGS11</t>
  </si>
  <si>
    <t>F-13.652.006/0001-95 A-36.113.876/0001-91</t>
  </si>
  <si>
    <t>RBIR11</t>
  </si>
  <si>
    <t>F-31.161.410/0001-48 A-36.113.876/0001-91</t>
  </si>
  <si>
    <t>RBHG11</t>
  </si>
  <si>
    <t>F-30.647.758/0001-87 A-13.486.793/0001-42</t>
  </si>
  <si>
    <t>RBPD11</t>
  </si>
  <si>
    <t>RBPR11</t>
  </si>
  <si>
    <t>RBRD11</t>
  </si>
  <si>
    <t>F-09.006.914/0001-34 A-03.384.738/0001-98</t>
  </si>
  <si>
    <t>RBRF11</t>
  </si>
  <si>
    <t>F-27.529.279/0001-51 A-59.281.253/0001-23</t>
  </si>
  <si>
    <t>RBRL11</t>
  </si>
  <si>
    <t>F-35.705.463/0001-33 A-13.486.793/0001-42</t>
  </si>
  <si>
    <t>RBRM11</t>
  </si>
  <si>
    <t>F-26.314.437/0001-93 A-59.281.253/0001-23</t>
  </si>
  <si>
    <t>RBRP11</t>
  </si>
  <si>
    <t>F-21.408.063/0001-51 A-13.486.793/0001-42</t>
  </si>
  <si>
    <t>RBRR11</t>
  </si>
  <si>
    <t>F-29.467.977/0001-03 A-59.281.253/0001-23</t>
  </si>
  <si>
    <t>RBRY11</t>
  </si>
  <si>
    <t>F-30.166.700/0001-11 A-59.281.253/0001-23</t>
  </si>
  <si>
    <t>RBTS11</t>
  </si>
  <si>
    <t>F-29.299.737/0001-39 A-36.113.876/0001-91</t>
  </si>
  <si>
    <t>RBVA11</t>
  </si>
  <si>
    <t>F-15.576.907/0001-70 A-72.600.026/0001-81</t>
  </si>
  <si>
    <t>RBVO11</t>
  </si>
  <si>
    <t>F-15.769.670/0001-44 A-72.600.026/0001-81</t>
  </si>
  <si>
    <t>RCCS11</t>
  </si>
  <si>
    <t>RCFA11</t>
  </si>
  <si>
    <t>F-27.771.586/0001-44 A-03.751.794/0001-13</t>
  </si>
  <si>
    <t>TERRA INVESTIMENTOS</t>
  </si>
  <si>
    <t>RCFF11</t>
  </si>
  <si>
    <t>F-35.689.670/0001-41 A-13.486.793/0001-42</t>
  </si>
  <si>
    <t>RCRB11</t>
  </si>
  <si>
    <t>F-03.683.056/0001-86 A-72.600.026/0001-81</t>
  </si>
  <si>
    <t>RCRI11</t>
  </si>
  <si>
    <t>F-26.511.274/0001-39  A-36.113.876/0001-91</t>
  </si>
  <si>
    <t>RDPD11</t>
  </si>
  <si>
    <t>F-23.120.027/0001-13 A-03.384.738/0001-98</t>
  </si>
  <si>
    <t>RECT11</t>
  </si>
  <si>
    <t>F-32.274.163/0001-59 A-13.486.793/0001-42</t>
  </si>
  <si>
    <t>REIT11</t>
  </si>
  <si>
    <t>F-16.841.067/0001-99 A-62.285.390/0001-40</t>
  </si>
  <si>
    <t>SINGULARE</t>
  </si>
  <si>
    <t>RFOF11</t>
  </si>
  <si>
    <t>F-34.027.774/0001-28 A-34.027.774/0001-28</t>
  </si>
  <si>
    <t>RNDP11</t>
  </si>
  <si>
    <t>F-15.394.563/0001-89 A-03.384.738/0001-98</t>
  </si>
  <si>
    <t>RNGO11</t>
  </si>
  <si>
    <t>F-15.006.286/0001-90 A-72.600.026/0001-81</t>
  </si>
  <si>
    <t>RRCI11</t>
  </si>
  <si>
    <t>F-35.689.733/0001-60 A-13.486.793/0001-42</t>
  </si>
  <si>
    <t>RSBU11B</t>
  </si>
  <si>
    <t>NSG CAPITAL DTVM</t>
  </si>
  <si>
    <t>RSPD11</t>
  </si>
  <si>
    <t>F-19.249.989/0001-08 A-36.113.876/0001-91</t>
  </si>
  <si>
    <t>RVBI11</t>
  </si>
  <si>
    <t>F-35.507.457/0001-71 A-13.486.793/0001-42</t>
  </si>
  <si>
    <t>SAAG11</t>
  </si>
  <si>
    <t>F-16.915.840/0001-14 A-72.600.026/0001-81</t>
  </si>
  <si>
    <t>SADI11</t>
  </si>
  <si>
    <t>F-32.903.521/0001-45 A-62.318.407/0001-19</t>
  </si>
  <si>
    <t>SAIC11B</t>
  </si>
  <si>
    <t>F-17.311.079/0001-74 A-33.850.686/0001-69</t>
  </si>
  <si>
    <t>BRB DTVM</t>
  </si>
  <si>
    <t>SARE11</t>
  </si>
  <si>
    <t>F-32.903.702/0001-71 A-62.318.407/0001-19</t>
  </si>
  <si>
    <t>SCPF11</t>
  </si>
  <si>
    <t>F-01.657.856/0001-05 A-44.077.014/0001-89</t>
  </si>
  <si>
    <t>SDIL11</t>
  </si>
  <si>
    <t>F-16.671.412/0001-93 A-72.600.026/0001-81</t>
  </si>
  <si>
    <t>SFND11</t>
  </si>
  <si>
    <t>F-09.350.920/0001-04 A-72.600.026/0001-81</t>
  </si>
  <si>
    <t>SHDP11B</t>
  </si>
  <si>
    <t>F-07.224.019/0001-60 A-59.281.253/0001-23</t>
  </si>
  <si>
    <t>SHOP11</t>
  </si>
  <si>
    <t>F-22.459.737/0001-00 A-59.281.253/0001-23</t>
  </si>
  <si>
    <t>SHPH11</t>
  </si>
  <si>
    <t>F-03.507.519/0001-59 A-72.600.026/0001-81</t>
  </si>
  <si>
    <t>SPAF11</t>
  </si>
  <si>
    <t>F-18.311.024/0001-27 A-45.246.410/0001-55</t>
  </si>
  <si>
    <t>SPTW11</t>
  </si>
  <si>
    <t>F-15.538.445/0001-05 A-27.652.684/0001-62</t>
  </si>
  <si>
    <t>SPVJ11</t>
  </si>
  <si>
    <t>F-27.538.422/0001-71 A-22.610.500/0001-88</t>
  </si>
  <si>
    <t>STFI11</t>
  </si>
  <si>
    <t>STRX11</t>
  </si>
  <si>
    <t>F-11.044.355/0001-07 A-36.113.876/0001-91</t>
  </si>
  <si>
    <t>TBOF11</t>
  </si>
  <si>
    <t>F-17.365.105/0001-47 A-59.281.253/0001-23</t>
  </si>
  <si>
    <t>TCPF11</t>
  </si>
  <si>
    <t>F-26.990.011/0001-50 A-44.077.014/0001-89</t>
  </si>
  <si>
    <t>TELD11</t>
  </si>
  <si>
    <t>F-36.200.701/0001-11 A-13.486.793/0001-42</t>
  </si>
  <si>
    <t>TEPP11</t>
  </si>
  <si>
    <t>F-26.681.370/0001-25 A-13.486.793/0001-42</t>
  </si>
  <si>
    <t>TFOF11</t>
  </si>
  <si>
    <t>F-20.834.884/0001-97 A-07.253.654/0001-76</t>
  </si>
  <si>
    <t>TGAR11</t>
  </si>
  <si>
    <t>F-25.032.881/0001-53 A-22.610.500/0001-88</t>
  </si>
  <si>
    <t>THRA11</t>
  </si>
  <si>
    <t>F-13.966.653/0001-71 A-59.281.253/0001-23</t>
  </si>
  <si>
    <t>TORD11</t>
  </si>
  <si>
    <t>F-30.230.870/0001-18 A-22.610.500/0001-88</t>
  </si>
  <si>
    <t>TORM11</t>
  </si>
  <si>
    <t>F-26.395.660/0001-02 A-22.610.500/0001-88</t>
  </si>
  <si>
    <t>TOUR11</t>
  </si>
  <si>
    <t>F-30.578.316/0001-26 A-22.610.500/0001-88</t>
  </si>
  <si>
    <t>TRNT11</t>
  </si>
  <si>
    <t>F-04.722.883/0001-02 A-59.281.253/0001-23</t>
  </si>
  <si>
    <t>TRXB11</t>
  </si>
  <si>
    <t>F-36.368.925/0001-37 A-13.486.793/0001-42</t>
  </si>
  <si>
    <t>TRXF11</t>
  </si>
  <si>
    <t>F-28.548.288/0001-52 A-13.486.793/0001-42</t>
  </si>
  <si>
    <t>TSNC11</t>
  </si>
  <si>
    <t>F-17.007.443/0001-07 A-59.281.253/0001-23</t>
  </si>
  <si>
    <t>UBSR11</t>
  </si>
  <si>
    <t>URBN11</t>
  </si>
  <si>
    <t>URPR11</t>
  </si>
  <si>
    <t>F-34.508.872/0001-87 A-22.610.500/0001-88</t>
  </si>
  <si>
    <t>VCJR11</t>
  </si>
  <si>
    <t>F-32.400.250/0001-05 A-62.418.140/0001-31</t>
  </si>
  <si>
    <t>VERE11</t>
  </si>
  <si>
    <t>F-08.693.497/0001-82 A-22.610.500/0001-88</t>
  </si>
  <si>
    <t>VGIP11</t>
  </si>
  <si>
    <t>F-34.197.811/0001-46 A-59.281.253/0001-23</t>
  </si>
  <si>
    <t>VGIR11</t>
  </si>
  <si>
    <t>F-29.852.732/0001-91 A-59.281.253/0001-23</t>
  </si>
  <si>
    <t>VIDS11</t>
  </si>
  <si>
    <t>F-32.527.552/0001-49 A-45.246.410/0001-55</t>
  </si>
  <si>
    <t>VIFI11</t>
  </si>
  <si>
    <t>F-31.547.855/0001-60 A-13.486.793/0001-42</t>
  </si>
  <si>
    <t>VILG11</t>
  </si>
  <si>
    <t>F-24.853.044/0001-22 A-13.486.793/0001-42</t>
  </si>
  <si>
    <t>VINO11</t>
  </si>
  <si>
    <t>F-12.516.185/0001-70 A-13.486.793/0001-42</t>
  </si>
  <si>
    <t>F-17.554.274/0001-25 A-13.486.793/0001-42</t>
  </si>
  <si>
    <t>VLJS11</t>
  </si>
  <si>
    <t>F-13.842.683/0001-76 A-00.806.535/0001-54</t>
  </si>
  <si>
    <t>VLOL11</t>
  </si>
  <si>
    <t>F-15.296.696/0001-12 A-36.113.876/0001-91</t>
  </si>
  <si>
    <t>VOTS11</t>
  </si>
  <si>
    <t>F-17.870.926/0001-30 A-03.384.738/0001-98</t>
  </si>
  <si>
    <t>VPSI11</t>
  </si>
  <si>
    <t>F-14.721.889/0001-00 A-03.384.738/0001-98</t>
  </si>
  <si>
    <t>VRTA11</t>
  </si>
  <si>
    <t>F-11.664.201/0001-00 A-33.644.196/0001-06</t>
  </si>
  <si>
    <t>BANCO FATOR</t>
  </si>
  <si>
    <t>VSEC11</t>
  </si>
  <si>
    <t>F-10.347.505/0001-80 A-03.384.738/0001-98</t>
  </si>
  <si>
    <t>VSHO11</t>
  </si>
  <si>
    <t>F-23.740.595/0001-17 A-03.384.738/0001-98</t>
  </si>
  <si>
    <t>VTLT11</t>
  </si>
  <si>
    <t>F-27.368.600/0001-63 A-03.384.738/0001-98</t>
  </si>
  <si>
    <t>VTPA11</t>
  </si>
  <si>
    <t>F-21.500.481/0001-74 A-03.384.738/0001-98</t>
  </si>
  <si>
    <t>VTPL11</t>
  </si>
  <si>
    <t>F-15.098.422/0001-19 A-59.281.253/0001-23</t>
  </si>
  <si>
    <t>VTVI11</t>
  </si>
  <si>
    <t>F-21.500.514/0001-86 A-03.384.738/0001-98</t>
  </si>
  <si>
    <t>VTXI11</t>
  </si>
  <si>
    <t>F-23.740.552/0001-31 A-03.384.738/0001-98</t>
  </si>
  <si>
    <t>VVPR11</t>
  </si>
  <si>
    <t>F-33.045.581/0001-37 A-59.281.253/0001-23</t>
  </si>
  <si>
    <t>VXXV11</t>
  </si>
  <si>
    <t>F-30.248.129/0001-84 A-34.829.992/0001-86</t>
  </si>
  <si>
    <t>REAG</t>
  </si>
  <si>
    <t>WMRB11B</t>
  </si>
  <si>
    <t>F-12.834.763/0001-17 A-33.868.597/0001-40</t>
  </si>
  <si>
    <t>WPLZ11</t>
  </si>
  <si>
    <t>F-09.326.861/0001-39 A-07.253.654/0001-76</t>
  </si>
  <si>
    <t>WTSP11B</t>
  </si>
  <si>
    <t>F-28.693.595/0001-27 A-78.632.767/0001-20</t>
  </si>
  <si>
    <t>XPCI11</t>
  </si>
  <si>
    <t>F-28.516.301/0001-91 A-22.610.500/0001-88</t>
  </si>
  <si>
    <t>XPCM11</t>
  </si>
  <si>
    <t>F-16.802.320/0001-03 A-72.600.026/0001-81</t>
  </si>
  <si>
    <t>XPGA11</t>
  </si>
  <si>
    <t>F-13.811.400/0001-29 A-02.332.886/0001-04</t>
  </si>
  <si>
    <t>XPHT11</t>
  </si>
  <si>
    <t>F-18.308.516/0001-63 A-27.652.684/0001-62</t>
  </si>
  <si>
    <t>XPHT12</t>
  </si>
  <si>
    <t>XPIN11</t>
  </si>
  <si>
    <t>F-28.516.325/0001-40 A-22.610.500/0001-88</t>
  </si>
  <si>
    <t>XPLG11</t>
  </si>
  <si>
    <t>F-26.502.794/0001-85 A-22.610.500/0001-88</t>
  </si>
  <si>
    <t>XPML11</t>
  </si>
  <si>
    <t>F-28.757.546/0001-00 A-59.281.253/0001-23</t>
  </si>
  <si>
    <t>XPPR11</t>
  </si>
  <si>
    <t>F-30.654.849/0001-40 A-22.610.500/0001-88</t>
  </si>
  <si>
    <t>XPSF11</t>
  </si>
  <si>
    <t>F-30.983.020/0001-90 A-02.332.886/0001-04</t>
  </si>
  <si>
    <t>XTED11</t>
  </si>
  <si>
    <t>F-15.006.267/0001-63 A-59.281.253/0001-23</t>
  </si>
  <si>
    <t>KISU11</t>
  </si>
  <si>
    <t>F-36.669.660/0001-07 A-13.486.793/0001-42</t>
  </si>
  <si>
    <t>YCHY11</t>
  </si>
  <si>
    <t>DEVA11</t>
  </si>
  <si>
    <t>F-37.087.810/0001-37 A-22.610.500/0001-88</t>
  </si>
  <si>
    <t>DEVANT ASSET</t>
  </si>
  <si>
    <t>RECR11</t>
  </si>
  <si>
    <t>F-28.152.272/0001-26 A-13.486.793/0001-42</t>
  </si>
  <si>
    <t>CPTS11</t>
  </si>
  <si>
    <t>OURE11</t>
  </si>
  <si>
    <t>F-28.516.650/0001-03 A-78.632.767/0001-20</t>
  </si>
  <si>
    <t xml:space="preserve"> Fundo De Títulos E Valores Mobiliários</t>
  </si>
  <si>
    <t>Banco Ourinvest S.A.</t>
  </si>
  <si>
    <t>HSAF11</t>
  </si>
  <si>
    <t>F-35.360.687/0001-50 A-13.486.793/0001-42</t>
  </si>
  <si>
    <t>Fundo de fundos</t>
  </si>
  <si>
    <t>RZTR11</t>
  </si>
  <si>
    <t>F-36.501.128/0001-86 A-45.246.410/0001-55</t>
  </si>
  <si>
    <t>Brasil Plural S.A. Banco Múltiplo</t>
  </si>
  <si>
    <t>SNFF11</t>
  </si>
  <si>
    <t>F-40.011.225/0001-68 A-59.281.253/0001-23</t>
  </si>
  <si>
    <t>BTG Pactual</t>
  </si>
  <si>
    <t>KNSC11</t>
  </si>
  <si>
    <t>F-35.864.448/0001-38 A-62.418.140/0001-31</t>
  </si>
  <si>
    <t>INTRAG DTVM</t>
  </si>
  <si>
    <t>SEQR11</t>
  </si>
  <si>
    <t>F-09.517.273/0001-82 A-22.610.500/0001-88</t>
  </si>
  <si>
    <t>Vórtx DTVM LTDA</t>
  </si>
  <si>
    <t>VSLH11</t>
  </si>
  <si>
    <t>F-36.244.015/0001-42 A-22.610.500/0001-88</t>
  </si>
  <si>
    <t>PLOG11</t>
  </si>
  <si>
    <t>F-36.501.198/0001-34 A-27.652.684/0001-62</t>
  </si>
  <si>
    <t>VGHF11</t>
  </si>
  <si>
    <t xml:space="preserve">F-36.771.692/0001-19 A-62.232.889/0001-90
</t>
  </si>
  <si>
    <t>Banco Daycoval S.A.</t>
  </si>
  <si>
    <t>RECX11</t>
  </si>
  <si>
    <t>F-36.642.356/0001-76 A-59.281.253/0001-23</t>
  </si>
  <si>
    <t>HSLG11</t>
  </si>
  <si>
    <t>F-32.903.621/0001-71 A-13.486.793/0001-42</t>
  </si>
  <si>
    <t>RELG11</t>
  </si>
  <si>
    <t>F-37.112.770/0001-36 A-13.486.793/0001-42</t>
  </si>
  <si>
    <t>SNCI11</t>
  </si>
  <si>
    <t>F-41.076.710/0001-82 A-59.281.253/0001-23</t>
  </si>
  <si>
    <t>Recebíveis imobiliários</t>
  </si>
  <si>
    <t>NCRA11</t>
  </si>
  <si>
    <t>F-42.537.438/0001-53 A-59.281.253/0001-23</t>
  </si>
  <si>
    <t>Recebíveis do agronegócio</t>
  </si>
  <si>
    <t>BLMR11</t>
  </si>
  <si>
    <t>F-36.368.869/0001-30 A-13.486.793/0001-42</t>
  </si>
  <si>
    <t>BBGO11,</t>
  </si>
  <si>
    <t>F-42.592.257/0001-20 A-30.822.936/0001-69</t>
  </si>
  <si>
    <t>Fiagro</t>
  </si>
  <si>
    <t>BB Gestão de Recursos</t>
  </si>
  <si>
    <t>CCFA11</t>
  </si>
  <si>
    <t>F-42.537.470/0001-39</t>
  </si>
  <si>
    <t>DCRA11</t>
  </si>
  <si>
    <t>F-42.888.360/0001-11 A-62.232.889/0001-90</t>
  </si>
  <si>
    <t>EGAF11</t>
  </si>
  <si>
    <t>F-41.224.330/0001-48 A-22.610.500/0001-88</t>
  </si>
  <si>
    <t>RZAG11</t>
  </si>
  <si>
    <t>F-40.413.979/0001-44 A-45.246.410/0001-55</t>
  </si>
  <si>
    <t>Banco Genial</t>
  </si>
  <si>
    <t>JGPX11</t>
  </si>
  <si>
    <t>F-42.888.292/0001-90 A-62.232.889/0001-90</t>
  </si>
  <si>
    <t>FGAA11</t>
  </si>
  <si>
    <t>F-42.405.905/0001-91 A-13.486.793/0001-42</t>
  </si>
  <si>
    <t>GCRA11</t>
  </si>
  <si>
    <t>F-37.037.297/0001-70 A-62.285.390/0001-40</t>
  </si>
  <si>
    <t>Singulare CTVM</t>
  </si>
  <si>
    <t>RURA11</t>
  </si>
  <si>
    <t>F-42.479.593/0001-60 A-62.418.140/0001-31</t>
  </si>
  <si>
    <t>KNCA11</t>
  </si>
  <si>
    <t>F-41.745.701/0001-37 A-62.418.140/0001-31</t>
  </si>
  <si>
    <t>LSAG11</t>
  </si>
  <si>
    <t>F-42.592.476/0001-09 A-45.246.410/0001-55</t>
  </si>
  <si>
    <t>OIAG11</t>
  </si>
  <si>
    <t>F-41.218.352/0001-03 A-62.285.390/0001-40</t>
  </si>
  <si>
    <t>PLCA11</t>
  </si>
  <si>
    <t>F-41.272.747/0001-86 A-45.246.410/0001-55</t>
  </si>
  <si>
    <t>FARM11</t>
  </si>
  <si>
    <t>F-42.043.633/0001-27 A-</t>
  </si>
  <si>
    <t>VGIA11</t>
  </si>
  <si>
    <t>F-41.081.088/0001-09 A-59.281.253/0001-23</t>
  </si>
  <si>
    <t>VCRA11</t>
  </si>
  <si>
    <t>F-42.502.827/0001-43 A-62.418.140/0001-31</t>
  </si>
  <si>
    <t>XPCA11</t>
  </si>
  <si>
    <t>F-41.269.527/0001-01 A-02.332.886/0001-04</t>
  </si>
  <si>
    <t>XP Investimentos</t>
  </si>
  <si>
    <t>BTAG11</t>
  </si>
  <si>
    <t>F-40.771.109/0001-47 A-59.281.253/0001-23</t>
  </si>
  <si>
    <t>BBOV11</t>
  </si>
  <si>
    <t>34.606.480/0001-50</t>
  </si>
  <si>
    <t>BB ETF IBOV</t>
  </si>
  <si>
    <t>ETF</t>
  </si>
  <si>
    <t>BBSD11</t>
  </si>
  <si>
    <t>17.817.528/0001-50</t>
  </si>
  <si>
    <t>BB ETF SP DV</t>
  </si>
  <si>
    <t>IBOB11</t>
  </si>
  <si>
    <t>42.427.783/0001-34</t>
  </si>
  <si>
    <t>PACTUAL IBOV</t>
  </si>
  <si>
    <t>ESGB11</t>
  </si>
  <si>
    <t>37.843.293/0001-89</t>
  </si>
  <si>
    <t>ETF ESG BTG</t>
  </si>
  <si>
    <t>SPXB11</t>
  </si>
  <si>
    <t>42.682.199/0001-25</t>
  </si>
  <si>
    <t>BTG S&amp;P 500</t>
  </si>
  <si>
    <t>GENB11</t>
  </si>
  <si>
    <t>42.134.357/0001-02</t>
  </si>
  <si>
    <t>ETF BTG GENB</t>
  </si>
  <si>
    <t>SMAB11</t>
  </si>
  <si>
    <t>42.682.281/0001-50</t>
  </si>
  <si>
    <t>BTG SMLL CAP</t>
  </si>
  <si>
    <t>CMDB11</t>
  </si>
  <si>
    <t>43.391.410/0001-13</t>
  </si>
  <si>
    <t>BTG COMMODIT</t>
  </si>
  <si>
    <t>XBOV11</t>
  </si>
  <si>
    <t>14.120.533/0001-11</t>
  </si>
  <si>
    <t>CAIXAETFXBOV</t>
  </si>
  <si>
    <t>BOVB11</t>
  </si>
  <si>
    <t>32.203.211/0001-18</t>
  </si>
  <si>
    <t>ETF BRAD BOV</t>
  </si>
  <si>
    <t>TRIG11</t>
  </si>
  <si>
    <t>43.140.303/0001-12</t>
  </si>
  <si>
    <t>TRG SMIC CAP</t>
  </si>
  <si>
    <t>BITH11</t>
  </si>
  <si>
    <t>41.256.573/0001-68</t>
  </si>
  <si>
    <t>HASHDEX BTCN</t>
  </si>
  <si>
    <t>HASH11</t>
  </si>
  <si>
    <t>38.314.708/0001-90</t>
  </si>
  <si>
    <t>CRYPTO INDEX</t>
  </si>
  <si>
    <t>ETHE11</t>
  </si>
  <si>
    <t>41.907.631/0001-76</t>
  </si>
  <si>
    <t>HASHDEX ETH</t>
  </si>
  <si>
    <t>TECB11</t>
  </si>
  <si>
    <t>42.682.113/0001-64</t>
  </si>
  <si>
    <t>TECH BRASIL</t>
  </si>
  <si>
    <t>GURU11</t>
  </si>
  <si>
    <t>43.955.479/0001-22</t>
  </si>
  <si>
    <t>ETF GURU</t>
  </si>
  <si>
    <t>JOGO11</t>
  </si>
  <si>
    <t>43.105.466/0001-64</t>
  </si>
  <si>
    <t>INVESTO JOGO</t>
  </si>
  <si>
    <t>ALUG11</t>
  </si>
  <si>
    <t>42.280.328/0001-59</t>
  </si>
  <si>
    <t>INVESTO ALUG</t>
  </si>
  <si>
    <t>USTK11</t>
  </si>
  <si>
    <t>40.751.130/0001-80</t>
  </si>
  <si>
    <t>INVESTO USTK</t>
  </si>
  <si>
    <t>WRLD11</t>
  </si>
  <si>
    <t>42.280.262/0001-05</t>
  </si>
  <si>
    <t>INVESTO WRLD</t>
  </si>
  <si>
    <t>BTEK11</t>
  </si>
  <si>
    <t>42.280.298/0001-80</t>
  </si>
  <si>
    <t>INVESTO BTEK</t>
  </si>
  <si>
    <t>SMAL11</t>
  </si>
  <si>
    <t>10.406.600/0001-08</t>
  </si>
  <si>
    <t>ISHARES SMAL</t>
  </si>
  <si>
    <t>BOVA11</t>
  </si>
  <si>
    <t>10.406.511/0001-61</t>
  </si>
  <si>
    <t>ISHARES BOVA</t>
  </si>
  <si>
    <t>BRAX11</t>
  </si>
  <si>
    <t>11.455.378/0001-04</t>
  </si>
  <si>
    <t>ISHARES BRAX</t>
  </si>
  <si>
    <t>ECOO11</t>
  </si>
  <si>
    <t>15.562.377/0001-01</t>
  </si>
  <si>
    <t>ISHARES ECOO</t>
  </si>
  <si>
    <t>IVVB11</t>
  </si>
  <si>
    <t>19.909.560/0001-91</t>
  </si>
  <si>
    <t>ISHARE SP500</t>
  </si>
  <si>
    <t>BOVV11</t>
  </si>
  <si>
    <t>21.407.758/0001-19</t>
  </si>
  <si>
    <t>IT NOW IBOV</t>
  </si>
  <si>
    <t>DIVO11</t>
  </si>
  <si>
    <t>13.416.245/0001-46</t>
  </si>
  <si>
    <t>IT NOW IDIV</t>
  </si>
  <si>
    <t>FIND11</t>
  </si>
  <si>
    <t>11.961.094/0001-81</t>
  </si>
  <si>
    <t>IT NOW IFNC</t>
  </si>
  <si>
    <t>GOVE11</t>
  </si>
  <si>
    <t>11.184.136/0001-15</t>
  </si>
  <si>
    <t>IT NOW IGCT</t>
  </si>
  <si>
    <t>MATB11</t>
  </si>
  <si>
    <t>13.416.228/0001-09</t>
  </si>
  <si>
    <t>IT NOW IMAT</t>
  </si>
  <si>
    <t>ISUS11</t>
  </si>
  <si>
    <t>12.984.444/000-98</t>
  </si>
  <si>
    <t>IT NOW ISE</t>
  </si>
  <si>
    <t>HTEK11</t>
  </si>
  <si>
    <t>41.054.515/0001-51</t>
  </si>
  <si>
    <t>IT NOW HCARE</t>
  </si>
  <si>
    <t>DNAI11</t>
  </si>
  <si>
    <t>41.054.459/0001-55</t>
  </si>
  <si>
    <t>IT NOW DNA</t>
  </si>
  <si>
    <t>MILL11</t>
  </si>
  <si>
    <t>41.054.489/0001-61</t>
  </si>
  <si>
    <t>IT NOW MILL</t>
  </si>
  <si>
    <t>TECK11</t>
  </si>
  <si>
    <t>38.354.844/0001-03</t>
  </si>
  <si>
    <t>IT NOW TECK</t>
  </si>
  <si>
    <t>PIBB11</t>
  </si>
  <si>
    <t>06.323.688/0001-27</t>
  </si>
  <si>
    <t>IT NOW PIBB</t>
  </si>
  <si>
    <t>REVE11</t>
  </si>
  <si>
    <t>41.054.432/0001-62</t>
  </si>
  <si>
    <t>IT NOW GREEN</t>
  </si>
  <si>
    <t>YDRO11</t>
  </si>
  <si>
    <t>42.264.597/0001-21</t>
  </si>
  <si>
    <t>IT NOW HYDRO</t>
  </si>
  <si>
    <t>SHOT11</t>
  </si>
  <si>
    <t>41.012.711/0001-63</t>
  </si>
  <si>
    <t>IT NOW SHOT</t>
  </si>
  <si>
    <t>SPXI11</t>
  </si>
  <si>
    <t>17.036.289/0001-00</t>
  </si>
  <si>
    <t>IT NOW SPXI</t>
  </si>
  <si>
    <t>SMAC11</t>
  </si>
  <si>
    <t>34.803.814/0001-86</t>
  </si>
  <si>
    <t>IT NOW SMALL</t>
  </si>
  <si>
    <t>QBTC11</t>
  </si>
  <si>
    <t>30.828.832/0001-61</t>
  </si>
  <si>
    <t>QR BITCOIN</t>
  </si>
  <si>
    <t>QETH11</t>
  </si>
  <si>
    <t>41.706.298/0001-37</t>
  </si>
  <si>
    <t>QR ETHER</t>
  </si>
  <si>
    <t>BOVS11</t>
  </si>
  <si>
    <t>38.350.645/0001-27</t>
  </si>
  <si>
    <t>SAFRAETFIBOV</t>
  </si>
  <si>
    <t>BOVX11</t>
  </si>
  <si>
    <t>40.155.573/0001-09</t>
  </si>
  <si>
    <t>TREND IBOVX</t>
  </si>
  <si>
    <t>XFIX11</t>
  </si>
  <si>
    <t>36.046.508/0001-78</t>
  </si>
  <si>
    <t>TREND IFIX</t>
  </si>
  <si>
    <t>GOLD11</t>
  </si>
  <si>
    <t>37.985.763/0001-49</t>
  </si>
  <si>
    <t>TREND OURO</t>
  </si>
  <si>
    <t>ACWI11</t>
  </si>
  <si>
    <t>38.542.889/0001-01</t>
  </si>
  <si>
    <t>TREND ACWI</t>
  </si>
  <si>
    <t>ASIA11</t>
  </si>
  <si>
    <t>35.121.329/0001-95</t>
  </si>
  <si>
    <t>TREND ASIA</t>
  </si>
  <si>
    <t>XINA11</t>
  </si>
  <si>
    <t>38.542.870/0001-65</t>
  </si>
  <si>
    <t>TREND CHINA</t>
  </si>
  <si>
    <t>ESGD11</t>
  </si>
  <si>
    <t>40.953.905/0001-09</t>
  </si>
  <si>
    <t>TREND ESG D</t>
  </si>
  <si>
    <t>ESGE11</t>
  </si>
  <si>
    <t>40.953.725/0001-19</t>
  </si>
  <si>
    <t>TREND ESG E</t>
  </si>
  <si>
    <t>EURP11</t>
  </si>
  <si>
    <t>38.595.988/0001-51</t>
  </si>
  <si>
    <t>TREND EUROPA</t>
  </si>
  <si>
    <t>EMEG11</t>
  </si>
  <si>
    <t>35.121.315/0001-71</t>
  </si>
  <si>
    <t>TREND EMEG</t>
  </si>
  <si>
    <t>ESGU11</t>
  </si>
  <si>
    <t>40.953.254/0001-49</t>
  </si>
  <si>
    <t>TREND ESG US</t>
  </si>
  <si>
    <t>NASD11</t>
  </si>
  <si>
    <t>35.578.672/0001-63</t>
  </si>
  <si>
    <t>TREND NASDAQ</t>
  </si>
  <si>
    <t>XMAL11</t>
  </si>
  <si>
    <t>40.153.709/0001-41</t>
  </si>
  <si>
    <t>TREND SMALL</t>
  </si>
  <si>
    <t>BITCOIN</t>
  </si>
  <si>
    <t>ETHER</t>
  </si>
  <si>
    <t>CURRENCY:LTCUSD</t>
  </si>
  <si>
    <t>LITECOIN</t>
  </si>
  <si>
    <t>TP2025</t>
  </si>
  <si>
    <t>Tesouro Prefixado 2025</t>
  </si>
  <si>
    <t>TP2033</t>
  </si>
  <si>
    <t>Tesouro Prefixado com Juros Semestrais 2033</t>
  </si>
  <si>
    <t>TP2029</t>
  </si>
  <si>
    <t>Tesouro Prefixado 2029</t>
  </si>
  <si>
    <t>Tesouro IPCA+ 2035</t>
  </si>
  <si>
    <t>TI+2032</t>
  </si>
  <si>
    <t>Tesouro IPCA+ com Juros Semestrais 2032</t>
  </si>
  <si>
    <t>TI+2040</t>
  </si>
  <si>
    <t>Tesouro IPCA+ com Juros Semestrais 2040</t>
  </si>
  <si>
    <t>TI+2045</t>
  </si>
  <si>
    <t>Tesouro IPCA+ 2045</t>
  </si>
  <si>
    <t>TI+2055</t>
  </si>
  <si>
    <t>Tesouro IPCA+ com Juros Semestrais 2055</t>
  </si>
  <si>
    <t>TI+2026</t>
  </si>
  <si>
    <t>Tesouro IPCA+ 2026</t>
  </si>
  <si>
    <t>Tesouro Selic 2028</t>
  </si>
  <si>
    <t>Tesouro Selic 2027</t>
  </si>
  <si>
    <t>Tesouro Selic 2031</t>
  </si>
  <si>
    <t>Tesouro Selic 2025</t>
  </si>
  <si>
    <t>Tesouro IPCA+ 2024</t>
  </si>
  <si>
    <t>Fundo Privelege DI</t>
  </si>
  <si>
    <t>Fundo de Investimento</t>
  </si>
  <si>
    <t>Fundo Index Petrobras</t>
  </si>
  <si>
    <t>Fundo Index SP500</t>
  </si>
  <si>
    <t>Tesouro Educa+ 2043</t>
  </si>
  <si>
    <t>Tesouro Renda+ 2055</t>
  </si>
  <si>
    <t>Poupança Itaú</t>
  </si>
  <si>
    <t>Poupança</t>
  </si>
  <si>
    <t>MMMC34</t>
  </si>
  <si>
    <t>Indústria diversificada</t>
  </si>
  <si>
    <t>BDR</t>
  </si>
  <si>
    <t>ABUD34</t>
  </si>
  <si>
    <t>Bélgica</t>
  </si>
  <si>
    <t>A1BB34</t>
  </si>
  <si>
    <t>Industrial</t>
  </si>
  <si>
    <t>Switzerland</t>
  </si>
  <si>
    <t>ABTT34</t>
  </si>
  <si>
    <t>Farmacêuticos</t>
  </si>
  <si>
    <t>ABBV34</t>
  </si>
  <si>
    <t>A1BM34</t>
  </si>
  <si>
    <t>ATVI34</t>
  </si>
  <si>
    <t>Tecnologia</t>
  </si>
  <si>
    <t>ADBE34</t>
  </si>
  <si>
    <t>A1AP34</t>
  </si>
  <si>
    <t>Peças Automotivas</t>
  </si>
  <si>
    <t>A1MD34</t>
  </si>
  <si>
    <t>A1EG34</t>
  </si>
  <si>
    <t>Netherlands</t>
  </si>
  <si>
    <t>A1ES34</t>
  </si>
  <si>
    <t>Energia</t>
  </si>
  <si>
    <t>A1FL34</t>
  </si>
  <si>
    <t>Seguros</t>
  </si>
  <si>
    <t>A1GI34</t>
  </si>
  <si>
    <t>A1PD34</t>
  </si>
  <si>
    <t>A1KA34</t>
  </si>
  <si>
    <t>A1LK34</t>
  </si>
  <si>
    <t>Holding companhias aéras</t>
  </si>
  <si>
    <t>A1LB34</t>
  </si>
  <si>
    <t>A1RE34</t>
  </si>
  <si>
    <t>Fundo de investimento imobiliário</t>
  </si>
  <si>
    <t>A1LX34</t>
  </si>
  <si>
    <t>BABA34</t>
  </si>
  <si>
    <t>Tecnologia / E-Commerce</t>
  </si>
  <si>
    <t>China</t>
  </si>
  <si>
    <t>A1LG34</t>
  </si>
  <si>
    <t>Equipamentos médicos</t>
  </si>
  <si>
    <t>A1GN34</t>
  </si>
  <si>
    <t>Produtos de segurança</t>
  </si>
  <si>
    <t>A1LL34</t>
  </si>
  <si>
    <t>A1EN34</t>
  </si>
  <si>
    <t>A1TT34</t>
  </si>
  <si>
    <t>A1LN34</t>
  </si>
  <si>
    <t>Farmacêutico</t>
  </si>
  <si>
    <t>GOGL34</t>
  </si>
  <si>
    <t>GOGL35</t>
  </si>
  <si>
    <t>A1YX34</t>
  </si>
  <si>
    <t>MOOO34</t>
  </si>
  <si>
    <t>Comércio – Tabaco</t>
  </si>
  <si>
    <t>A1CR34</t>
  </si>
  <si>
    <t>Reino Unido</t>
  </si>
  <si>
    <t>A1EE34</t>
  </si>
  <si>
    <t>A1MX34</t>
  </si>
  <si>
    <t>Comunicação</t>
  </si>
  <si>
    <t>Mexico</t>
  </si>
  <si>
    <t>AALL34</t>
  </si>
  <si>
    <t>A1EP34</t>
  </si>
  <si>
    <t>T1OW34</t>
  </si>
  <si>
    <t>A1WK34</t>
  </si>
  <si>
    <t>Tratamento de água</t>
  </si>
  <si>
    <t>A1MP34</t>
  </si>
  <si>
    <t>Serviços Financeiros</t>
  </si>
  <si>
    <t>A1MB34</t>
  </si>
  <si>
    <t>Medicamentos</t>
  </si>
  <si>
    <t>A1ME34</t>
  </si>
  <si>
    <t>Eletroeletrônicos</t>
  </si>
  <si>
    <t>AMGN34</t>
  </si>
  <si>
    <t>Biotecnologia</t>
  </si>
  <si>
    <t>A1PH34</t>
  </si>
  <si>
    <t>Eletroeletrônico</t>
  </si>
  <si>
    <t>A1DI34</t>
  </si>
  <si>
    <t>A1UA34</t>
  </si>
  <si>
    <t>South Africa</t>
  </si>
  <si>
    <t>A1NS34</t>
  </si>
  <si>
    <t>A1NT34</t>
  </si>
  <si>
    <t>A1OS34</t>
  </si>
  <si>
    <t>Aquecedores de água</t>
  </si>
  <si>
    <t>A1ON34</t>
  </si>
  <si>
    <t>A1PA34</t>
  </si>
  <si>
    <t>A1IV34</t>
  </si>
  <si>
    <t>AAPL34</t>
  </si>
  <si>
    <t>Computadores Pessoais</t>
  </si>
  <si>
    <t>A1MT34</t>
  </si>
  <si>
    <t>Semicondutores</t>
  </si>
  <si>
    <t>APTV34</t>
  </si>
  <si>
    <t>Comercio – Farmacéutico, diversos</t>
  </si>
  <si>
    <t>Irlanda</t>
  </si>
  <si>
    <t>ARMT34</t>
  </si>
  <si>
    <t>Ferro &amp; Aço</t>
  </si>
  <si>
    <t>A1DM34</t>
  </si>
  <si>
    <t>A1RG34</t>
  </si>
  <si>
    <t>A1NE34</t>
  </si>
  <si>
    <t>Computadores</t>
  </si>
  <si>
    <t>AWII34</t>
  </si>
  <si>
    <t>A1JG34</t>
  </si>
  <si>
    <t>A1SN34</t>
  </si>
  <si>
    <t>Denmark</t>
  </si>
  <si>
    <t>ASML34</t>
  </si>
  <si>
    <t>Sistemas de Fotolitografia</t>
  </si>
  <si>
    <t>Holanda</t>
  </si>
  <si>
    <t>A1SU34</t>
  </si>
  <si>
    <t>Gerenciamento de riscos</t>
  </si>
  <si>
    <t>A1ZN34</t>
  </si>
  <si>
    <t>United Kingdom</t>
  </si>
  <si>
    <t>T1AM34</t>
  </si>
  <si>
    <t>Austrália</t>
  </si>
  <si>
    <t>A1TM34</t>
  </si>
  <si>
    <t>A1UT34</t>
  </si>
  <si>
    <t>A1TH34</t>
  </si>
  <si>
    <t>ADPR34</t>
  </si>
  <si>
    <t>AZOI34</t>
  </si>
  <si>
    <t>Comércio – Auto peças</t>
  </si>
  <si>
    <t>A1VB34</t>
  </si>
  <si>
    <t>A1VY34</t>
  </si>
  <si>
    <t>Materias para embalagens</t>
  </si>
  <si>
    <t>BIDU34</t>
  </si>
  <si>
    <t>B1KR34</t>
  </si>
  <si>
    <t>B1LL34</t>
  </si>
  <si>
    <t>B1SA34</t>
  </si>
  <si>
    <t>Chile</t>
  </si>
  <si>
    <t>BOAC34</t>
  </si>
  <si>
    <t>B1CS34</t>
  </si>
  <si>
    <t>B1AX34</t>
  </si>
  <si>
    <t>B1BT34</t>
  </si>
  <si>
    <t>Instituição Financeira</t>
  </si>
  <si>
    <t>B1DX34</t>
  </si>
  <si>
    <t>B1GN34</t>
  </si>
  <si>
    <t>BBYY34</t>
  </si>
  <si>
    <t>BHPG34</t>
  </si>
  <si>
    <t>Mineração/Petróleo</t>
  </si>
  <si>
    <t>B1BL34</t>
  </si>
  <si>
    <t>Australia</t>
  </si>
  <si>
    <t>BILB34</t>
  </si>
  <si>
    <t>Espanha</t>
  </si>
  <si>
    <t>B1IL34</t>
  </si>
  <si>
    <t>BIIB34</t>
  </si>
  <si>
    <t>B1MR34</t>
  </si>
  <si>
    <t>B1NT34</t>
  </si>
  <si>
    <t>Germany</t>
  </si>
  <si>
    <t>T1CH34</t>
  </si>
  <si>
    <t>BLAK34</t>
  </si>
  <si>
    <t>BKNG34</t>
  </si>
  <si>
    <t>B1WA34</t>
  </si>
  <si>
    <t>Automóveis</t>
  </si>
  <si>
    <t>BOXP34</t>
  </si>
  <si>
    <t>Imobiliário</t>
  </si>
  <si>
    <t>B1SX34</t>
  </si>
  <si>
    <t>Soluções Médicas</t>
  </si>
  <si>
    <t>B1PP34</t>
  </si>
  <si>
    <t>B1TI34</t>
  </si>
  <si>
    <t>Tabaco</t>
  </si>
  <si>
    <t>AVGO34</t>
  </si>
  <si>
    <t>B1RF34</t>
  </si>
  <si>
    <t>B1AM34</t>
  </si>
  <si>
    <t>Canadá</t>
  </si>
  <si>
    <t>B1FC34</t>
  </si>
  <si>
    <t>C1AB34</t>
  </si>
  <si>
    <t>C1OG34</t>
  </si>
  <si>
    <t>C1DN34</t>
  </si>
  <si>
    <t>C1PB34</t>
  </si>
  <si>
    <t>CNIC34</t>
  </si>
  <si>
    <t>CPRL34</t>
  </si>
  <si>
    <t>CAJI34</t>
  </si>
  <si>
    <t>Fotografia</t>
  </si>
  <si>
    <t>Japão</t>
  </si>
  <si>
    <t>CAON34</t>
  </si>
  <si>
    <t>CAPH34</t>
  </si>
  <si>
    <t>C1AH34</t>
  </si>
  <si>
    <t>K1MX34</t>
  </si>
  <si>
    <t>Varejista de carros</t>
  </si>
  <si>
    <t>C1CL34</t>
  </si>
  <si>
    <t>Serviços – Viagens</t>
  </si>
  <si>
    <t>C1RR34</t>
  </si>
  <si>
    <t>CRIN34</t>
  </si>
  <si>
    <t>Comércio – Vestuário</t>
  </si>
  <si>
    <t>C1BO34</t>
  </si>
  <si>
    <t>C1BR34</t>
  </si>
  <si>
    <t>C1BS34</t>
  </si>
  <si>
    <t>C1DW34</t>
  </si>
  <si>
    <t>C1NS34</t>
  </si>
  <si>
    <t>C1NC34</t>
  </si>
  <si>
    <t>C1NP34</t>
  </si>
  <si>
    <t>C1ER34</t>
  </si>
  <si>
    <t>C1FI34</t>
  </si>
  <si>
    <t>Distribuidora</t>
  </si>
  <si>
    <t>C1HR34</t>
  </si>
  <si>
    <t>CHCM34</t>
  </si>
  <si>
    <t>C1HK34</t>
  </si>
  <si>
    <t>L1FC34</t>
  </si>
  <si>
    <t>C1HL34</t>
  </si>
  <si>
    <t>Hong Kong</t>
  </si>
  <si>
    <t>C1HI34</t>
  </si>
  <si>
    <t>C1MG34</t>
  </si>
  <si>
    <t>Restaurantes &amp; Bares</t>
  </si>
  <si>
    <t>C1BL34</t>
  </si>
  <si>
    <t>C1HT34</t>
  </si>
  <si>
    <t>Taiwan</t>
  </si>
  <si>
    <t>CHDC34</t>
  </si>
  <si>
    <t>Comércio – Produtos de higiene pessoal</t>
  </si>
  <si>
    <t>C1IC34</t>
  </si>
  <si>
    <t>CINF34</t>
  </si>
  <si>
    <t>C1TA34</t>
  </si>
  <si>
    <t>CSCO34</t>
  </si>
  <si>
    <t>Aparelhos de Rede e Comunicação</t>
  </si>
  <si>
    <t>CTGP34</t>
  </si>
  <si>
    <t>C1FG34</t>
  </si>
  <si>
    <t>C1TX34</t>
  </si>
  <si>
    <t>CLXC34</t>
  </si>
  <si>
    <t>Comércio – Produtos de consumo não duráveis</t>
  </si>
  <si>
    <t>CHME34</t>
  </si>
  <si>
    <t>C1MS34</t>
  </si>
  <si>
    <t>C1EO34</t>
  </si>
  <si>
    <t>CTSH34</t>
  </si>
  <si>
    <t>CMCS34</t>
  </si>
  <si>
    <t>Sistemas de CATV</t>
  </si>
  <si>
    <t>C1MA34</t>
  </si>
  <si>
    <t>C1AG34</t>
  </si>
  <si>
    <t>Produtos Alimentícios</t>
  </si>
  <si>
    <t>C1XO34</t>
  </si>
  <si>
    <t>E1DI34</t>
  </si>
  <si>
    <t>STZB34</t>
  </si>
  <si>
    <t>Comércio – Bebidas alcoólicas</t>
  </si>
  <si>
    <t>C1OO34</t>
  </si>
  <si>
    <t>C1PR34</t>
  </si>
  <si>
    <t>COPH34</t>
  </si>
  <si>
    <t>Combustível &amp; Gás Integrados</t>
  </si>
  <si>
    <t>G1LW34</t>
  </si>
  <si>
    <t>C1TV34</t>
  </si>
  <si>
    <t>Biotecnologia Agrícola</t>
  </si>
  <si>
    <t>C1GP34</t>
  </si>
  <si>
    <t>Serviços comerciais</t>
  </si>
  <si>
    <t>COWC34</t>
  </si>
  <si>
    <t>COTY34</t>
  </si>
  <si>
    <t>Consumo</t>
  </si>
  <si>
    <t>C1OU34</t>
  </si>
  <si>
    <t>CRDA34</t>
  </si>
  <si>
    <t>C1SU34</t>
  </si>
  <si>
    <t>CRHP34</t>
  </si>
  <si>
    <t>Construção</t>
  </si>
  <si>
    <t>C1CI34</t>
  </si>
  <si>
    <t>CSXC34</t>
  </si>
  <si>
    <t>CRIP34</t>
  </si>
  <si>
    <t>C1MI34</t>
  </si>
  <si>
    <t>Metalurgia</t>
  </si>
  <si>
    <t>CVSH34</t>
  </si>
  <si>
    <t>DHER34</t>
  </si>
  <si>
    <t>D1RI34</t>
  </si>
  <si>
    <t>D1DG34</t>
  </si>
  <si>
    <t>DVAI34</t>
  </si>
  <si>
    <t>Centro médico – Serviços</t>
  </si>
  <si>
    <t>DEEC34</t>
  </si>
  <si>
    <t>D1EL34</t>
  </si>
  <si>
    <t>DEAI34</t>
  </si>
  <si>
    <t>XRAY34</t>
  </si>
  <si>
    <t>Comércio – Produtos de higiene dental</t>
  </si>
  <si>
    <t>DBAG34</t>
  </si>
  <si>
    <t>Alemanha</t>
  </si>
  <si>
    <t>D1VN34</t>
  </si>
  <si>
    <t>D1EX34</t>
  </si>
  <si>
    <t>DEOP34</t>
  </si>
  <si>
    <t>F1AN34</t>
  </si>
  <si>
    <t>Exploração de hidrocarbonetos</t>
  </si>
  <si>
    <t>D1LR34</t>
  </si>
  <si>
    <t>D1FS34</t>
  </si>
  <si>
    <t>DCVY34</t>
  </si>
  <si>
    <t>DCVY35</t>
  </si>
  <si>
    <t>D1IS34</t>
  </si>
  <si>
    <t>D1OC34</t>
  </si>
  <si>
    <t>DGCO34</t>
  </si>
  <si>
    <t>DLTR34</t>
  </si>
  <si>
    <t>D1OM34</t>
  </si>
  <si>
    <t>D1OV34</t>
  </si>
  <si>
    <t>Industria diversificada</t>
  </si>
  <si>
    <t>D1OW34</t>
  </si>
  <si>
    <t>Produtos Químicos Diversificados</t>
  </si>
  <si>
    <t>D1HI34</t>
  </si>
  <si>
    <t>R1DY34</t>
  </si>
  <si>
    <t>India</t>
  </si>
  <si>
    <t>D1TE34</t>
  </si>
  <si>
    <t>D1RE34</t>
  </si>
  <si>
    <t>D1XC34</t>
  </si>
  <si>
    <t>E1MN34</t>
  </si>
  <si>
    <t>E1TN34</t>
  </si>
  <si>
    <t>EBAY34</t>
  </si>
  <si>
    <t>Catálogos e entregas domiciliares</t>
  </si>
  <si>
    <t>E1CL34</t>
  </si>
  <si>
    <t>Tecnologias e serviços de água</t>
  </si>
  <si>
    <t>E1CO34</t>
  </si>
  <si>
    <t>Colombia</t>
  </si>
  <si>
    <t>E1IX34</t>
  </si>
  <si>
    <t>E1WL34</t>
  </si>
  <si>
    <t>Equipamentos Médicos</t>
  </si>
  <si>
    <t>EAIN34</t>
  </si>
  <si>
    <t>E1MR34</t>
  </si>
  <si>
    <t>E1NI34</t>
  </si>
  <si>
    <t>Utilidades</t>
  </si>
  <si>
    <t>E1TR34</t>
  </si>
  <si>
    <t>E1OG34</t>
  </si>
  <si>
    <t>E1FX34</t>
  </si>
  <si>
    <t>EQIX34</t>
  </si>
  <si>
    <t>E1QN34</t>
  </si>
  <si>
    <t>Norway</t>
  </si>
  <si>
    <t>E1QR34</t>
  </si>
  <si>
    <t>E1RI34</t>
  </si>
  <si>
    <t>Sweden</t>
  </si>
  <si>
    <t>E1SS34</t>
  </si>
  <si>
    <t>ELCI34</t>
  </si>
  <si>
    <t>E1VE34</t>
  </si>
  <si>
    <t>E1VR34</t>
  </si>
  <si>
    <t>E1SE34</t>
  </si>
  <si>
    <t>E1XC34monde</t>
  </si>
  <si>
    <t>EXGR34</t>
  </si>
  <si>
    <t>E1XP34</t>
  </si>
  <si>
    <t>E1XR34</t>
  </si>
  <si>
    <t>EXXO34</t>
  </si>
  <si>
    <t>F1FI34</t>
  </si>
  <si>
    <t>FBOK34</t>
  </si>
  <si>
    <t>FASL34</t>
  </si>
  <si>
    <t>F1SL34</t>
  </si>
  <si>
    <t>F1RI34</t>
  </si>
  <si>
    <t>F1NI34</t>
  </si>
  <si>
    <t>FFTD34</t>
  </si>
  <si>
    <t>F1RC34</t>
  </si>
  <si>
    <t>FSLR34</t>
  </si>
  <si>
    <t>F1EC34</t>
  </si>
  <si>
    <t>F1IS34</t>
  </si>
  <si>
    <t>FLTC34</t>
  </si>
  <si>
    <t>F1LI34</t>
  </si>
  <si>
    <t>Câmeras e sensores de imagem</t>
  </si>
  <si>
    <t>F1LS34</t>
  </si>
  <si>
    <t>F1MC34</t>
  </si>
  <si>
    <t>FDMO34</t>
  </si>
  <si>
    <t>F1TN34</t>
  </si>
  <si>
    <t>F1TV34</t>
  </si>
  <si>
    <t>Automação industrial</t>
  </si>
  <si>
    <t>F1BH34</t>
  </si>
  <si>
    <t>Utensilios domésticos</t>
  </si>
  <si>
    <t>FOXC34</t>
  </si>
  <si>
    <t>F1RA34</t>
  </si>
  <si>
    <t>FCXO34</t>
  </si>
  <si>
    <t>Metais não ferrosos</t>
  </si>
  <si>
    <t>FMSC34</t>
  </si>
  <si>
    <t>G1LP34</t>
  </si>
  <si>
    <t>Belgium</t>
  </si>
  <si>
    <t>GPSI34</t>
  </si>
  <si>
    <t>G1RM34</t>
  </si>
  <si>
    <t>G1AR34</t>
  </si>
  <si>
    <t>Consultoria</t>
  </si>
  <si>
    <t>G1DS34</t>
  </si>
  <si>
    <t>GEOO34</t>
  </si>
  <si>
    <t>Máquinas diversas</t>
  </si>
  <si>
    <t>G1MI34</t>
  </si>
  <si>
    <t>GMCO34</t>
  </si>
  <si>
    <t>G1PC34</t>
  </si>
  <si>
    <t>GPRK34</t>
  </si>
  <si>
    <t>GILD34</t>
  </si>
  <si>
    <t>G1SK34</t>
  </si>
  <si>
    <t>G1PI34</t>
  </si>
  <si>
    <t>G1LL34</t>
  </si>
  <si>
    <t>G1FI34</t>
  </si>
  <si>
    <t>GSGI34</t>
  </si>
  <si>
    <t>Serviços de investimentos</t>
  </si>
  <si>
    <t>GPRO34</t>
  </si>
  <si>
    <t>H1RB34</t>
  </si>
  <si>
    <t>HALI34</t>
  </si>
  <si>
    <t>Equipamentos e Serviços de Combustível</t>
  </si>
  <si>
    <t>H1BI34</t>
  </si>
  <si>
    <t>Roupas e Calçados</t>
  </si>
  <si>
    <t>THGI34</t>
  </si>
  <si>
    <t>H1OG34</t>
  </si>
  <si>
    <t>Motocicletas</t>
  </si>
  <si>
    <t>H1IG34</t>
  </si>
  <si>
    <t>H1AS34</t>
  </si>
  <si>
    <t>Brinquedos</t>
  </si>
  <si>
    <t>H1CA34</t>
  </si>
  <si>
    <t>H1DB34</t>
  </si>
  <si>
    <t>P1EA34</t>
  </si>
  <si>
    <t>H1EI34</t>
  </si>
  <si>
    <t>Aeroespacial</t>
  </si>
  <si>
    <t>H1SI34</t>
  </si>
  <si>
    <t>HSHY34</t>
  </si>
  <si>
    <t>H1ES34</t>
  </si>
  <si>
    <t>H1PE34</t>
  </si>
  <si>
    <t>H1LT34</t>
  </si>
  <si>
    <t>Hóteis</t>
  </si>
  <si>
    <t>H1FC34</t>
  </si>
  <si>
    <t>H1OL34</t>
  </si>
  <si>
    <t>HOME34</t>
  </si>
  <si>
    <t>Lojas de melhorias domiciliares</t>
  </si>
  <si>
    <t>HOND34</t>
  </si>
  <si>
    <t>H1ZN34</t>
  </si>
  <si>
    <t>H1RL34</t>
  </si>
  <si>
    <t>H1ST34</t>
  </si>
  <si>
    <t>ARNC34</t>
  </si>
  <si>
    <t>H1SB34</t>
  </si>
  <si>
    <t>H1TH34</t>
  </si>
  <si>
    <t>H1UM34</t>
  </si>
  <si>
    <t>H1BA34</t>
  </si>
  <si>
    <t>H1II34</t>
  </si>
  <si>
    <t>I1AC34</t>
  </si>
  <si>
    <t>I1BN34</t>
  </si>
  <si>
    <t>I1EX34</t>
  </si>
  <si>
    <t>Maquinario Industrial</t>
  </si>
  <si>
    <t>I1DX34</t>
  </si>
  <si>
    <t>Diagnósticos veterinários</t>
  </si>
  <si>
    <t>I1NF34</t>
  </si>
  <si>
    <t>I1TW34</t>
  </si>
  <si>
    <t>I1LM34</t>
  </si>
  <si>
    <t>I1NC34</t>
  </si>
  <si>
    <t>I1FO34</t>
  </si>
  <si>
    <t>INGG3</t>
  </si>
  <si>
    <t>I1RP34</t>
  </si>
  <si>
    <t>Produtos industriais diversos</t>
  </si>
  <si>
    <t>ITLC34</t>
  </si>
  <si>
    <t>Semicondutor amplo</t>
  </si>
  <si>
    <t>I1CE34</t>
  </si>
  <si>
    <t>I1HG34</t>
  </si>
  <si>
    <t>I1PC34</t>
  </si>
  <si>
    <t>I1FF34</t>
  </si>
  <si>
    <t>Perfumes e Sabores</t>
  </si>
  <si>
    <t>I1PH34</t>
  </si>
  <si>
    <t>Publicidade</t>
  </si>
  <si>
    <t>INTU34</t>
  </si>
  <si>
    <t>I1SR34</t>
  </si>
  <si>
    <t>I1VZ34</t>
  </si>
  <si>
    <t>ISBC34</t>
  </si>
  <si>
    <t>I1PG34</t>
  </si>
  <si>
    <t>Lasers de fibra</t>
  </si>
  <si>
    <t>I1QY34</t>
  </si>
  <si>
    <t>I1QV34</t>
  </si>
  <si>
    <t>I1RM34</t>
  </si>
  <si>
    <t>Armazenamento de informações</t>
  </si>
  <si>
    <t>J1KH34</t>
  </si>
  <si>
    <t>J1EG34</t>
  </si>
  <si>
    <t>J1BH34</t>
  </si>
  <si>
    <t>Transportes e logística</t>
  </si>
  <si>
    <t>JDCO34</t>
  </si>
  <si>
    <t>J1EF34</t>
  </si>
  <si>
    <t>J1CI34</t>
  </si>
  <si>
    <t>JPMC34</t>
  </si>
  <si>
    <t>J1NP34</t>
  </si>
  <si>
    <t>K1CS34</t>
  </si>
  <si>
    <t>Ferroviário</t>
  </si>
  <si>
    <t>K1BF34</t>
  </si>
  <si>
    <t>Korea, Republic of</t>
  </si>
  <si>
    <t>K1EL34</t>
  </si>
  <si>
    <t>KMPR34</t>
  </si>
  <si>
    <t>K1EY34</t>
  </si>
  <si>
    <t>K1SG34</t>
  </si>
  <si>
    <t>Equipamentos eletrônicos</t>
  </si>
  <si>
    <t>K1IM34</t>
  </si>
  <si>
    <t>KMIC34</t>
  </si>
  <si>
    <t>K1LA34</t>
  </si>
  <si>
    <t>K1SS34</t>
  </si>
  <si>
    <t>PHGN34</t>
  </si>
  <si>
    <t>K1RC34</t>
  </si>
  <si>
    <t>Supermercados</t>
  </si>
  <si>
    <t>K1TC34</t>
  </si>
  <si>
    <t>Coreia</t>
  </si>
  <si>
    <t>LBRN34</t>
  </si>
  <si>
    <t>L1HX34</t>
  </si>
  <si>
    <t>L1CA34</t>
  </si>
  <si>
    <t>Laboratórios clínicos</t>
  </si>
  <si>
    <t>L1RC34</t>
  </si>
  <si>
    <t>L1WH34</t>
  </si>
  <si>
    <t>L1VS34</t>
  </si>
  <si>
    <t>L1EG34</t>
  </si>
  <si>
    <t>L1DO34</t>
  </si>
  <si>
    <t>L1EN34</t>
  </si>
  <si>
    <t>LBRD34</t>
  </si>
  <si>
    <t>L1BT34</t>
  </si>
  <si>
    <t>L1BT35</t>
  </si>
  <si>
    <t>LSXM34</t>
  </si>
  <si>
    <t>LSXM35</t>
  </si>
  <si>
    <t>LILY34</t>
  </si>
  <si>
    <t>L1NC34</t>
  </si>
  <si>
    <t>Holding</t>
  </si>
  <si>
    <t>L1IN34</t>
  </si>
  <si>
    <t>L1YV34</t>
  </si>
  <si>
    <t>Teatro</t>
  </si>
  <si>
    <t>L1KQ34</t>
  </si>
  <si>
    <t>L1YG34</t>
  </si>
  <si>
    <t>L1OE34</t>
  </si>
  <si>
    <t>LOWC34</t>
  </si>
  <si>
    <t>Comércio – Construção</t>
  </si>
  <si>
    <t>L1UL34</t>
  </si>
  <si>
    <t>Varejista de roupas</t>
  </si>
  <si>
    <t>L1MN34</t>
  </si>
  <si>
    <t>L1YB34</t>
  </si>
  <si>
    <t>M1TB34</t>
  </si>
  <si>
    <t>MACY34</t>
  </si>
  <si>
    <t>M1RO34</t>
  </si>
  <si>
    <t>M1PC34</t>
  </si>
  <si>
    <t>MKLC34</t>
  </si>
  <si>
    <t>M1KT34</t>
  </si>
  <si>
    <t>M1TT34</t>
  </si>
  <si>
    <t>Hotéis</t>
  </si>
  <si>
    <t>M1MC34</t>
  </si>
  <si>
    <t>M1LM34</t>
  </si>
  <si>
    <t>M1AS34</t>
  </si>
  <si>
    <t>M1TC34</t>
  </si>
  <si>
    <t>M1XI34</t>
  </si>
  <si>
    <t>M1KC34</t>
  </si>
  <si>
    <t>MCDC34</t>
  </si>
  <si>
    <t>M1CK34</t>
  </si>
  <si>
    <t>MDTC34</t>
  </si>
  <si>
    <t>M1LC34</t>
  </si>
  <si>
    <t>MELI34</t>
  </si>
  <si>
    <t>Argentina</t>
  </si>
  <si>
    <t>MRCK34</t>
  </si>
  <si>
    <t>M1TD34</t>
  </si>
  <si>
    <t>Instrumentos para laboratórios</t>
  </si>
  <si>
    <t>M1GM34</t>
  </si>
  <si>
    <t>M1CH34</t>
  </si>
  <si>
    <t>MUTC34</t>
  </si>
  <si>
    <t>MSFT34</t>
  </si>
  <si>
    <t>M1AA34</t>
  </si>
  <si>
    <t>M1UF34</t>
  </si>
  <si>
    <t>Japan</t>
  </si>
  <si>
    <t>M1BT34</t>
  </si>
  <si>
    <t>Russian Federation</t>
  </si>
  <si>
    <t>M1RN34</t>
  </si>
  <si>
    <t>M1HK34</t>
  </si>
  <si>
    <t>M1CB34</t>
  </si>
  <si>
    <t>MDLZ34</t>
  </si>
  <si>
    <t>M1DB34</t>
  </si>
  <si>
    <t>M1NS34</t>
  </si>
  <si>
    <t>MCOR34</t>
  </si>
  <si>
    <t>MOSC34</t>
  </si>
  <si>
    <t>M1SI34</t>
  </si>
  <si>
    <t>M1SC34</t>
  </si>
  <si>
    <t>N1DA34</t>
  </si>
  <si>
    <t>N1GG34</t>
  </si>
  <si>
    <t>N1OV34</t>
  </si>
  <si>
    <t>N1WG34</t>
  </si>
  <si>
    <t>N1TA34</t>
  </si>
  <si>
    <t>NETE34</t>
  </si>
  <si>
    <t>NFLX34</t>
  </si>
  <si>
    <t>Lojas de Música e Vídeo</t>
  </si>
  <si>
    <t>N1BI34</t>
  </si>
  <si>
    <t>E1DU34</t>
  </si>
  <si>
    <t>Escolas</t>
  </si>
  <si>
    <t>N1WL34</t>
  </si>
  <si>
    <t>Bens de consumo</t>
  </si>
  <si>
    <t>N1EM34</t>
  </si>
  <si>
    <t>N1WS34</t>
  </si>
  <si>
    <t>N1WS35</t>
  </si>
  <si>
    <t>NEXT34</t>
  </si>
  <si>
    <t>N1IC34</t>
  </si>
  <si>
    <t>Israel</t>
  </si>
  <si>
    <t>N1LS34</t>
  </si>
  <si>
    <t>Serviços de informação</t>
  </si>
  <si>
    <t>N1IS34</t>
  </si>
  <si>
    <t>NOKI34</t>
  </si>
  <si>
    <t>Finlândia</t>
  </si>
  <si>
    <t>NMRH34</t>
  </si>
  <si>
    <t>J1WN34</t>
  </si>
  <si>
    <t>N1SC34</t>
  </si>
  <si>
    <t>N1TR34</t>
  </si>
  <si>
    <t>NOCG34</t>
  </si>
  <si>
    <t>N1CL34</t>
  </si>
  <si>
    <t>N1VS34</t>
  </si>
  <si>
    <t>N1VO34</t>
  </si>
  <si>
    <t>N1RG34</t>
  </si>
  <si>
    <t>N1UE34</t>
  </si>
  <si>
    <t>Aço e Metalurgia</t>
  </si>
  <si>
    <t>NVDC34</t>
  </si>
  <si>
    <t>N1VR34</t>
  </si>
  <si>
    <t>N1XP34</t>
  </si>
  <si>
    <t>OXYP34</t>
  </si>
  <si>
    <t>O1KT34</t>
  </si>
  <si>
    <t>O1DF34</t>
  </si>
  <si>
    <t>Transportadora</t>
  </si>
  <si>
    <t>O1MC34</t>
  </si>
  <si>
    <t>O1KE34</t>
  </si>
  <si>
    <t>ORLY34</t>
  </si>
  <si>
    <t>I1XC34</t>
  </si>
  <si>
    <t>O1TI34</t>
  </si>
  <si>
    <t>P1AC34</t>
  </si>
  <si>
    <t>P1KG34</t>
  </si>
  <si>
    <t>P1HC34</t>
  </si>
  <si>
    <t>Engenharia mecânica</t>
  </si>
  <si>
    <t>P1AY34</t>
  </si>
  <si>
    <t>P1YC34</t>
  </si>
  <si>
    <t>PYPL34</t>
  </si>
  <si>
    <t>P1NR34</t>
  </si>
  <si>
    <t>P1BC34</t>
  </si>
  <si>
    <t>P1KI34</t>
  </si>
  <si>
    <t>P1RG34</t>
  </si>
  <si>
    <t>PTCH34</t>
  </si>
  <si>
    <t>PFIZ34</t>
  </si>
  <si>
    <t>PGCO34</t>
  </si>
  <si>
    <t>Produtos doméstiscos não-duráveis</t>
  </si>
  <si>
    <t>PHMO34</t>
  </si>
  <si>
    <t>P1SX34</t>
  </si>
  <si>
    <t>P1DD34</t>
  </si>
  <si>
    <t>P1NW34</t>
  </si>
  <si>
    <t>P1IO34</t>
  </si>
  <si>
    <t>PNCS34</t>
  </si>
  <si>
    <t>P1KX34</t>
  </si>
  <si>
    <t>P1PG34</t>
  </si>
  <si>
    <t>P1PL34</t>
  </si>
  <si>
    <t>P1FG34</t>
  </si>
  <si>
    <t>P1LD34</t>
  </si>
  <si>
    <t>P1DT34</t>
  </si>
  <si>
    <t>P1UK34</t>
  </si>
  <si>
    <t>T1LK34</t>
  </si>
  <si>
    <t>Indonesia</t>
  </si>
  <si>
    <t>P1EG34</t>
  </si>
  <si>
    <t>P1SA34</t>
  </si>
  <si>
    <t>P1HM34</t>
  </si>
  <si>
    <t>P1VH34</t>
  </si>
  <si>
    <t>Roupas</t>
  </si>
  <si>
    <t>Q1RV34</t>
  </si>
  <si>
    <t>QCOM34</t>
  </si>
  <si>
    <t>Equipamentos de Comunicação</t>
  </si>
  <si>
    <t>Q1UA34</t>
  </si>
  <si>
    <t>Q1UE34</t>
  </si>
  <si>
    <t>R1LC34</t>
  </si>
  <si>
    <t>Roupas e acessórios</t>
  </si>
  <si>
    <t>R1JF34</t>
  </si>
  <si>
    <t>RDSA34</t>
  </si>
  <si>
    <t>R1IN34</t>
  </si>
  <si>
    <t>R1EG34</t>
  </si>
  <si>
    <t>REGN34</t>
  </si>
  <si>
    <t>Comércio – Produtos e serviços farmacêuticos</t>
  </si>
  <si>
    <t>R1FC34</t>
  </si>
  <si>
    <t>R1EL34</t>
  </si>
  <si>
    <t>R1SG34</t>
  </si>
  <si>
    <t>R1MD34</t>
  </si>
  <si>
    <t>RIOT34</t>
  </si>
  <si>
    <t>R1HI34</t>
  </si>
  <si>
    <t>R1OK34</t>
  </si>
  <si>
    <t>R1KU34</t>
  </si>
  <si>
    <t>R1OL34</t>
  </si>
  <si>
    <t>R1OP34</t>
  </si>
  <si>
    <t>ROST34</t>
  </si>
  <si>
    <t>R1CL34</t>
  </si>
  <si>
    <t>Cruzeiros</t>
  </si>
  <si>
    <t>RDSA35</t>
  </si>
  <si>
    <t>R1YA34</t>
  </si>
  <si>
    <t>Aviação</t>
  </si>
  <si>
    <t>Ireland</t>
  </si>
  <si>
    <t>SPGI34</t>
  </si>
  <si>
    <t>SSFO34</t>
  </si>
  <si>
    <t>BCSA34</t>
  </si>
  <si>
    <t>SAPP34</t>
  </si>
  <si>
    <t>Softwares</t>
  </si>
  <si>
    <t>S1RP34</t>
  </si>
  <si>
    <t>S1BA34</t>
  </si>
  <si>
    <t>SCHW34</t>
  </si>
  <si>
    <t>S1TX34</t>
  </si>
  <si>
    <t>S1EA34</t>
  </si>
  <si>
    <t>S1GE34</t>
  </si>
  <si>
    <t>S1RE34</t>
  </si>
  <si>
    <t>N1OW34</t>
  </si>
  <si>
    <t>S1BS34</t>
  </si>
  <si>
    <t>SBNY34</t>
  </si>
  <si>
    <t>SIMN34</t>
  </si>
  <si>
    <t>SRXM34</t>
  </si>
  <si>
    <t>S1KM34</t>
  </si>
  <si>
    <t>S1SL34</t>
  </si>
  <si>
    <t>S1LG34</t>
  </si>
  <si>
    <t>S1NN34</t>
  </si>
  <si>
    <t>S1NA34</t>
  </si>
  <si>
    <t>Ferramentas</t>
  </si>
  <si>
    <t>SNEC34</t>
  </si>
  <si>
    <t>S1OU34</t>
  </si>
  <si>
    <t>Companhia Aérea</t>
  </si>
  <si>
    <t>S1PL34</t>
  </si>
  <si>
    <t>S1PO34</t>
  </si>
  <si>
    <t>S1SN34</t>
  </si>
  <si>
    <t>S1WK34</t>
  </si>
  <si>
    <t>S1TT34</t>
  </si>
  <si>
    <t>S1TE34</t>
  </si>
  <si>
    <t>SLBC34</t>
  </si>
  <si>
    <t>STMN34</t>
  </si>
  <si>
    <t>Suiça</t>
  </si>
  <si>
    <t>S1YK34</t>
  </si>
  <si>
    <t>Sáude</t>
  </si>
  <si>
    <t>S1MF34</t>
  </si>
  <si>
    <t>S1IV34</t>
  </si>
  <si>
    <t>S1YM34</t>
  </si>
  <si>
    <t>Tencologia</t>
  </si>
  <si>
    <t>S1YF34</t>
  </si>
  <si>
    <t>S1NP34</t>
  </si>
  <si>
    <t>S1YY34</t>
  </si>
  <si>
    <t>T1RO34</t>
  </si>
  <si>
    <t>TSMC34</t>
  </si>
  <si>
    <t>TAKP34</t>
  </si>
  <si>
    <t>T1TW34</t>
  </si>
  <si>
    <t>Videogames</t>
  </si>
  <si>
    <t>T1AL34</t>
  </si>
  <si>
    <t>TPRY34</t>
  </si>
  <si>
    <t>Comércio – Vestuário, calçados</t>
  </si>
  <si>
    <t>T1EL34</t>
  </si>
  <si>
    <t>T1EC34</t>
  </si>
  <si>
    <t>T1FX34</t>
  </si>
  <si>
    <t>TLNC34</t>
  </si>
  <si>
    <t>T1SS34</t>
  </si>
  <si>
    <t>Luxembourg</t>
  </si>
  <si>
    <t>TXSA34</t>
  </si>
  <si>
    <t>Luxemburgo</t>
  </si>
  <si>
    <t>TSLA34</t>
  </si>
  <si>
    <t>T1EV34</t>
  </si>
  <si>
    <t>T1XT34</t>
  </si>
  <si>
    <t>S1JM34</t>
  </si>
  <si>
    <t>Alimentos e bebidas</t>
  </si>
  <si>
    <t>P1GR34</t>
  </si>
  <si>
    <t>S1HW34</t>
  </si>
  <si>
    <t>Tintas</t>
  </si>
  <si>
    <t>T1SO34</t>
  </si>
  <si>
    <t>TMOS34</t>
  </si>
  <si>
    <t>Serviços Médico – Hospitalares, Análises e Diagnósticos</t>
  </si>
  <si>
    <t>TJXC34</t>
  </si>
  <si>
    <t>Comércio – Lojas de departamento</t>
  </si>
  <si>
    <t>T1MU34</t>
  </si>
  <si>
    <t>TMCO34</t>
  </si>
  <si>
    <t>T1SC34</t>
  </si>
  <si>
    <t>Varejo</t>
  </si>
  <si>
    <t>T1DG34</t>
  </si>
  <si>
    <t>Componentes aeroespaciais</t>
  </si>
  <si>
    <t>RIGG34</t>
  </si>
  <si>
    <t>TRVC34</t>
  </si>
  <si>
    <t>T1RI34</t>
  </si>
  <si>
    <t>Turismo</t>
  </si>
  <si>
    <t>T1WL34</t>
  </si>
  <si>
    <t>TWTR34</t>
  </si>
  <si>
    <t>TSNF34</t>
  </si>
  <si>
    <t>Comércio – Alimentos</t>
  </si>
  <si>
    <t>U1BE34</t>
  </si>
  <si>
    <t>UBSG34</t>
  </si>
  <si>
    <t>U1DR34</t>
  </si>
  <si>
    <t>U1LT34</t>
  </si>
  <si>
    <t>Varejo de cosméticos</t>
  </si>
  <si>
    <t>U1AI34</t>
  </si>
  <si>
    <t>ULEV34</t>
  </si>
  <si>
    <t>Cuidados Pessoais</t>
  </si>
  <si>
    <t>U1NL34</t>
  </si>
  <si>
    <t>Cosméticos</t>
  </si>
  <si>
    <t>UPAC34</t>
  </si>
  <si>
    <t>U1AL34</t>
  </si>
  <si>
    <t>U1RI34</t>
  </si>
  <si>
    <t>Aluguel de equipamentos</t>
  </si>
  <si>
    <t>UNHH34</t>
  </si>
  <si>
    <t>U1HS34</t>
  </si>
  <si>
    <t>U1NM34</t>
  </si>
  <si>
    <t>UPSS34</t>
  </si>
  <si>
    <t>Serviços de Entregas</t>
  </si>
  <si>
    <t>USSX34</t>
  </si>
  <si>
    <t>VLOE34</t>
  </si>
  <si>
    <t>VLYB34</t>
  </si>
  <si>
    <t>V1AR34</t>
  </si>
  <si>
    <t>V1TA34</t>
  </si>
  <si>
    <t>VRSN34</t>
  </si>
  <si>
    <t>V1RS34</t>
  </si>
  <si>
    <t>VERZ34</t>
  </si>
  <si>
    <t>VRTX34</t>
  </si>
  <si>
    <t>Comércio – Produtos farmacêuticos</t>
  </si>
  <si>
    <t>VFCO34</t>
  </si>
  <si>
    <t>V1IP34</t>
  </si>
  <si>
    <t>E-Commerce</t>
  </si>
  <si>
    <t>V1OD34</t>
  </si>
  <si>
    <t>V1NO34</t>
  </si>
  <si>
    <t>V1MC34</t>
  </si>
  <si>
    <t>W1AB34</t>
  </si>
  <si>
    <t>Indústria ferroviária</t>
  </si>
  <si>
    <t>WALM34</t>
  </si>
  <si>
    <t>Varejo amplo</t>
  </si>
  <si>
    <t>WGBA34</t>
  </si>
  <si>
    <t>W1MG34</t>
  </si>
  <si>
    <t>Gravadora</t>
  </si>
  <si>
    <t>W1MC34</t>
  </si>
  <si>
    <t>Gerenciamento de Resíduos</t>
  </si>
  <si>
    <t>WATC34</t>
  </si>
  <si>
    <t>W1SO34</t>
  </si>
  <si>
    <t>Refrigeração</t>
  </si>
  <si>
    <t>W1EC34</t>
  </si>
  <si>
    <t>W1BO34</t>
  </si>
  <si>
    <t>WFCO34</t>
  </si>
  <si>
    <t>W1EL34</t>
  </si>
  <si>
    <t>WABC34</t>
  </si>
  <si>
    <t>W1DC34</t>
  </si>
  <si>
    <t>WUNI34</t>
  </si>
  <si>
    <t>W1BK34</t>
  </si>
  <si>
    <t>W1RK34</t>
  </si>
  <si>
    <t>W1YC34</t>
  </si>
  <si>
    <t>W1HR34</t>
  </si>
  <si>
    <t>W1MB34</t>
  </si>
  <si>
    <t>W1LT34</t>
  </si>
  <si>
    <t>W1IX34</t>
  </si>
  <si>
    <t>W1DA34</t>
  </si>
  <si>
    <t>W1PP34</t>
  </si>
  <si>
    <t>W1RB34</t>
  </si>
  <si>
    <t>G1WW34</t>
  </si>
  <si>
    <t>W1YN34</t>
  </si>
  <si>
    <t>X1EL34</t>
  </si>
  <si>
    <t>X1LN34</t>
  </si>
  <si>
    <t>X1YL34</t>
  </si>
  <si>
    <t>Soluções para água</t>
  </si>
  <si>
    <t>YUMR34</t>
  </si>
  <si>
    <t>Comércio – Alimentação, restaurantes</t>
  </si>
  <si>
    <t>Z1BR34</t>
  </si>
  <si>
    <t>Z1BH34</t>
  </si>
  <si>
    <t>Z1IO34</t>
  </si>
  <si>
    <t>Z1TS34</t>
  </si>
  <si>
    <t>Z1OM34</t>
  </si>
  <si>
    <t>Z1TO34</t>
  </si>
  <si>
    <t>Delivery</t>
  </si>
  <si>
    <t>ACNB34</t>
  </si>
  <si>
    <t>AIGB34</t>
  </si>
  <si>
    <t>AXPB34</t>
  </si>
  <si>
    <t>Crédito ao Consumidor</t>
  </si>
  <si>
    <t>ATTB34</t>
  </si>
  <si>
    <t>BERK34</t>
  </si>
  <si>
    <t>BONY34</t>
  </si>
  <si>
    <t>BOEI34</t>
  </si>
  <si>
    <t>BMYB34</t>
  </si>
  <si>
    <t>Produtos Farmacêuticos</t>
  </si>
  <si>
    <t>DUKB34</t>
  </si>
  <si>
    <t>DDNB34</t>
  </si>
  <si>
    <t>Commodities Químicas</t>
  </si>
  <si>
    <t>FDXB34</t>
  </si>
  <si>
    <t>FMXB34</t>
  </si>
  <si>
    <t>México</t>
  </si>
  <si>
    <t>GDBR34</t>
  </si>
  <si>
    <t>Indústria Aeroespacial e de Defesa</t>
  </si>
  <si>
    <t>HONB34</t>
  </si>
  <si>
    <t>Prod. Industrializados Diversos</t>
  </si>
  <si>
    <t>HPQB34</t>
  </si>
  <si>
    <t>Hardware para computadores</t>
  </si>
  <si>
    <t>IBMB34</t>
  </si>
  <si>
    <t>Serviços de Computação</t>
  </si>
  <si>
    <t>JNJB34</t>
  </si>
  <si>
    <t>KMBB34</t>
  </si>
  <si>
    <t>KHCB34</t>
  </si>
  <si>
    <t>LMTB34</t>
  </si>
  <si>
    <t>Defesa</t>
  </si>
  <si>
    <t>METB34</t>
  </si>
  <si>
    <t>MSBR34</t>
  </si>
  <si>
    <t>PEPB34</t>
  </si>
  <si>
    <t>Refrigerantes</t>
  </si>
  <si>
    <t>SBUB34</t>
  </si>
  <si>
    <t>TGTB34</t>
  </si>
  <si>
    <t>TEXA34</t>
  </si>
  <si>
    <t>VISA34</t>
  </si>
  <si>
    <t>Financiamento ao Consumidor</t>
  </si>
  <si>
    <t>DISB34</t>
  </si>
  <si>
    <t>Radiodifusão e Entretenimento</t>
  </si>
  <si>
    <t>XRXB34</t>
  </si>
  <si>
    <t>Equipamentos Eletrônicos para Escritórios</t>
  </si>
  <si>
    <t>AMZO34</t>
  </si>
  <si>
    <t>CATP34</t>
  </si>
  <si>
    <t>Caminhões e Veículos Comerciais</t>
  </si>
  <si>
    <t>CHVX34</t>
  </si>
  <si>
    <t>COCA34</t>
  </si>
  <si>
    <t>COLG34</t>
  </si>
  <si>
    <t>Produtos Pessoais</t>
  </si>
  <si>
    <t>MSCD34</t>
  </si>
  <si>
    <t>NIKE34</t>
  </si>
  <si>
    <t>ORCL34</t>
  </si>
  <si>
    <t>Software aplicativo</t>
  </si>
  <si>
    <t>RYTT34</t>
  </si>
  <si>
    <t>SLBG34</t>
  </si>
  <si>
    <t>TIFF34</t>
  </si>
  <si>
    <t>Joalheria</t>
  </si>
  <si>
    <t>XPBR31</t>
  </si>
  <si>
    <t>BIVB39</t>
  </si>
  <si>
    <t>NUBR33</t>
  </si>
  <si>
    <t>USBC34</t>
  </si>
  <si>
    <t>Coca-Cola</t>
  </si>
  <si>
    <t>Beverages</t>
  </si>
  <si>
    <t>Fastenal</t>
  </si>
  <si>
    <t>Amphenol</t>
  </si>
  <si>
    <t>O</t>
  </si>
  <si>
    <t>Realty Income</t>
  </si>
  <si>
    <t>REIT</t>
  </si>
  <si>
    <t>Retail</t>
  </si>
  <si>
    <t>NNN</t>
  </si>
  <si>
    <t>National Retail Props</t>
  </si>
  <si>
    <t>Netflix, Inc.</t>
  </si>
  <si>
    <t>Entertainment</t>
  </si>
  <si>
    <t>Meta Platforms Inc</t>
  </si>
  <si>
    <t>Internet Content &amp; 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</si>
</sst>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0.00000000"/>
    <numFmt numFmtId="165" formatCode="[$R$ -416]#,##0.00"/>
    <numFmt numFmtId="166" formatCode="dd/mm"/>
    <numFmt numFmtId="167" formatCode="mm/yyyy"/>
    <numFmt numFmtId="168" formatCode="mm&quot;/&quot;yyyy"/>
    <numFmt numFmtId="169" formatCode="m/yyyy"/>
    <numFmt numFmtId="170" formatCode="dd/mm/yyyy"/>
    <numFmt numFmtId="171" formatCode="[$$]#,##0.00"/>
    <numFmt numFmtId="172" formatCode="d/m/yyyy"/>
    <numFmt numFmtId="173" formatCode="dd/mm/yy"/>
    <numFmt numFmtId="174" formatCode="#,##0.00000000"/>
    <numFmt numFmtId="175" formatCode="00&quot;.&quot;000&quot;.&quot;000&quot;/&quot;0000&quot;-&quot;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/>
    <font>
      <b/>
      <color theme="1"/>
      <name val="Arial"/>
      <scheme val="minor"/>
    </font>
    <font>
      <b/>
      <sz val="18.0"/>
      <color theme="0"/>
      <name val="Courier New"/>
    </font>
    <font>
      <b/>
      <sz val="18.0"/>
      <color theme="0"/>
      <name val="Arial"/>
      <scheme val="minor"/>
    </font>
    <font>
      <b/>
      <sz val="12.0"/>
      <color theme="0"/>
      <name val="Arial"/>
      <scheme val="minor"/>
    </font>
    <font>
      <b/>
      <sz val="14.0"/>
      <color theme="0"/>
      <name val="Arial"/>
      <scheme val="minor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theme="0"/>
        <bgColor theme="0"/>
      </patternFill>
    </fill>
  </fills>
  <borders count="55">
    <border/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medium">
        <color rgb="FFFFFFFF"/>
      </left>
      <top style="medium">
        <color rgb="FFFFFFFF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top style="thin">
        <color rgb="FFFFFFFF"/>
      </top>
      <bottom style="dotted">
        <color rgb="FFFFFFFF"/>
      </bottom>
    </border>
    <border>
      <top style="thin">
        <color rgb="FFFFFFFF"/>
      </top>
      <bottom style="dotted">
        <color rgb="FFFFFFFF"/>
      </bottom>
    </border>
    <border>
      <right style="medium">
        <color rgb="FFFFFFFF"/>
      </right>
      <top style="thin">
        <color rgb="FFFFFFFF"/>
      </top>
      <bottom style="dotted">
        <color rgb="FFFFFFFF"/>
      </bottom>
    </border>
    <border>
      <left style="medium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medium">
        <color rgb="FFFFFFFF"/>
      </right>
      <bottom style="thin">
        <color rgb="FFFFFFFF"/>
      </bottom>
    </border>
    <border>
      <left style="medium">
        <color rgb="FFFFFFFF"/>
      </left>
    </border>
    <border>
      <right style="medium">
        <color rgb="FFFFFFFF"/>
      </right>
    </border>
    <border>
      <left style="medium">
        <color rgb="FFFFFFFF"/>
      </left>
      <bottom style="thin">
        <color rgb="FFFFFFFF"/>
      </bottom>
    </border>
    <border>
      <bottom style="thin">
        <color rgb="FFFFFFFF"/>
      </bottom>
    </border>
    <border>
      <right style="medium">
        <color rgb="FFFFFFFF"/>
      </right>
      <bottom style="thin">
        <color rgb="FFFFFFFF"/>
      </bottom>
    </border>
    <border>
      <left style="medium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medium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bottom style="medium">
        <color rgb="FFFFFFFF"/>
      </bottom>
    </border>
    <border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4" fillId="3" fontId="2" numFmtId="0" xfId="0" applyAlignment="1" applyBorder="1" applyFill="1" applyFont="1">
      <alignment horizontal="center" readingOrder="0"/>
    </xf>
    <xf borderId="5" fillId="3" fontId="2" numFmtId="0" xfId="0" applyAlignment="1" applyBorder="1" applyFill="1" applyFont="1">
      <alignment horizontal="center" readingOrder="0"/>
    </xf>
    <xf borderId="6" fillId="0" fontId="4" numFmtId="0" xfId="0" applyBorder="1" applyFont="1"/>
    <xf borderId="5" fillId="0" fontId="1" numFmtId="0" xfId="0" applyBorder="1" applyFont="1"/>
    <xf borderId="5" fillId="0" fontId="1" numFmtId="165" xfId="0" applyBorder="1" applyFont="1" applyNumberFormat="1"/>
    <xf borderId="5" fillId="0" fontId="1" numFmtId="164" xfId="0" applyBorder="1" applyFont="1" applyNumberFormat="1"/>
    <xf borderId="5" fillId="0" fontId="1" numFmtId="10" xfId="0" applyBorder="1" applyFont="1" applyNumberFormat="1"/>
    <xf borderId="5" fillId="0" fontId="1" numFmtId="0" xfId="0" applyAlignment="1" applyBorder="1" applyFont="1">
      <alignment readingOrder="0"/>
    </xf>
    <xf borderId="7" fillId="3" fontId="2" numFmtId="0" xfId="0" applyAlignment="1" applyBorder="1" applyFill="1" applyFont="1">
      <alignment horizontal="center" readingOrder="0"/>
    </xf>
    <xf borderId="8" fillId="0" fontId="4" numFmtId="0" xfId="0" applyBorder="1" applyFont="1"/>
    <xf borderId="9" fillId="0" fontId="4" numFmtId="0" xfId="0" applyBorder="1" applyFont="1"/>
    <xf borderId="10" fillId="3" fontId="3" numFmtId="0" xfId="0" applyAlignment="1" applyBorder="1" applyFill="1" applyFont="1">
      <alignment horizontal="center" readingOrder="0" vertical="center"/>
    </xf>
    <xf borderId="6" fillId="0" fontId="1" numFmtId="165" xfId="0" applyBorder="1" applyFont="1" applyNumberFormat="1"/>
    <xf borderId="11" fillId="4" fontId="5" numFmtId="0" xfId="0" applyAlignment="1" applyBorder="1" applyFill="1" applyFont="1">
      <alignment readingOrder="0" vertical="center"/>
    </xf>
    <xf borderId="6" fillId="0" fontId="1" numFmtId="10" xfId="0" applyBorder="1" applyFont="1" applyNumberFormat="1"/>
    <xf borderId="1" fillId="4" fontId="5" numFmtId="0" xfId="0" applyAlignment="1" applyBorder="1" applyFill="1" applyFont="1">
      <alignment vertical="center"/>
    </xf>
    <xf borderId="2" fillId="4" fontId="5" numFmtId="0" xfId="0" applyAlignment="1" applyBorder="1" applyFill="1" applyFont="1">
      <alignment vertical="center"/>
    </xf>
    <xf borderId="12" fillId="4" fontId="5" numFmtId="0" xfId="0" applyAlignment="1" applyBorder="1" applyFill="1" applyFont="1">
      <alignment vertical="center"/>
    </xf>
    <xf borderId="13" fillId="3" fontId="3" numFmtId="0" xfId="0" applyAlignment="1" applyBorder="1" applyFill="1" applyFont="1">
      <alignment horizontal="center" readingOrder="0"/>
    </xf>
    <xf borderId="5" fillId="3" fontId="3" numFmtId="0" xfId="0" applyAlignment="1" applyBorder="1" applyFill="1" applyFont="1">
      <alignment horizontal="center" readingOrder="0"/>
    </xf>
    <xf borderId="14" fillId="3" fontId="3" numFmtId="0" xfId="0" applyAlignment="1" applyBorder="1" applyFill="1" applyFont="1">
      <alignment horizontal="center" readingOrder="0"/>
    </xf>
    <xf borderId="15" fillId="0" fontId="4" numFmtId="0" xfId="0" applyBorder="1" applyFont="1"/>
    <xf borderId="16" fillId="0" fontId="4" numFmtId="0" xfId="0" applyBorder="1" applyFont="1"/>
    <xf borderId="17" fillId="3" fontId="3" numFmtId="0" xfId="0" applyAlignment="1" applyBorder="1" applyFill="1" applyFont="1">
      <alignment readingOrder="0" vertical="center"/>
    </xf>
    <xf borderId="13" fillId="0" fontId="1" numFmtId="0" xfId="0" applyBorder="1" applyFont="1"/>
    <xf borderId="5" fillId="0" fontId="1" numFmtId="0" xfId="0" applyBorder="1" applyFont="1"/>
    <xf borderId="0" fillId="0" fontId="1" numFmtId="0" xfId="0" applyFont="1"/>
    <xf borderId="18" fillId="0" fontId="1" numFmtId="0" xfId="0" applyAlignment="1" applyBorder="1" applyFont="1">
      <alignment horizontal="center" readingOrder="0" vertical="center"/>
    </xf>
    <xf borderId="18" fillId="0" fontId="4" numFmtId="0" xfId="0" applyBorder="1" applyFont="1"/>
    <xf borderId="19" fillId="0" fontId="1" numFmtId="0" xfId="0" applyBorder="1" applyFont="1"/>
    <xf borderId="18" fillId="0" fontId="1" numFmtId="0" xfId="0" applyBorder="1" applyFont="1"/>
    <xf borderId="0" fillId="0" fontId="1" numFmtId="165" xfId="0" applyFont="1" applyNumberFormat="1"/>
    <xf borderId="20" fillId="0" fontId="1" numFmtId="0" xfId="0" applyBorder="1" applyFont="1"/>
    <xf borderId="21" fillId="0" fontId="1" numFmtId="0" xfId="0" applyBorder="1" applyFont="1"/>
    <xf borderId="22" fillId="0" fontId="1" numFmtId="0" xfId="0" applyBorder="1" applyFont="1"/>
    <xf borderId="23" fillId="0" fontId="1" numFmtId="0" xfId="0" applyBorder="1" applyFont="1"/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readingOrder="0"/>
    </xf>
    <xf borderId="24" fillId="0" fontId="1" numFmtId="0" xfId="0" applyBorder="1" applyFont="1"/>
    <xf borderId="5" fillId="0" fontId="1" numFmtId="165" xfId="0" applyAlignment="1" applyBorder="1" applyFont="1" applyNumberFormat="1">
      <alignment readingOrder="0"/>
    </xf>
    <xf borderId="24" fillId="0" fontId="1" numFmtId="165" xfId="0" applyBorder="1" applyFont="1" applyNumberFormat="1"/>
    <xf borderId="24" fillId="0" fontId="1" numFmtId="10" xfId="0" applyBorder="1" applyFont="1" applyNumberFormat="1"/>
    <xf borderId="5" fillId="0" fontId="1" numFmtId="166" xfId="0" applyAlignment="1" applyBorder="1" applyFont="1" applyNumberFormat="1">
      <alignment readingOrder="0"/>
    </xf>
    <xf borderId="5" fillId="0" fontId="1" numFmtId="0" xfId="0" applyAlignment="1" applyBorder="1" applyFont="1">
      <alignment readingOrder="0"/>
    </xf>
    <xf borderId="25" fillId="3" fontId="2" numFmtId="0" xfId="0" applyAlignment="1" applyBorder="1" applyFill="1" applyFont="1">
      <alignment horizontal="center" readingOrder="0"/>
    </xf>
    <xf borderId="26" fillId="0" fontId="4" numFmtId="0" xfId="0" applyBorder="1" applyFont="1"/>
    <xf borderId="27" fillId="0" fontId="4" numFmtId="0" xfId="0" applyBorder="1" applyFont="1"/>
    <xf borderId="28" fillId="0" fontId="1" numFmtId="165" xfId="0" applyBorder="1" applyFont="1" applyNumberFormat="1"/>
    <xf borderId="28" fillId="0" fontId="1" numFmtId="0" xfId="0" applyAlignment="1" applyBorder="1" applyFont="1">
      <alignment horizontal="center" readingOrder="0"/>
    </xf>
    <xf borderId="28" fillId="0" fontId="1" numFmtId="10" xfId="0" applyBorder="1" applyFont="1" applyNumberFormat="1"/>
    <xf borderId="5" fillId="0" fontId="1" numFmtId="165" xfId="0" applyAlignment="1" applyBorder="1" applyFont="1" applyNumberFormat="1">
      <alignment horizontal="center" readingOrder="0"/>
    </xf>
    <xf borderId="0" fillId="5" fontId="1" numFmtId="0" xfId="0" applyFill="1" applyFont="1"/>
    <xf borderId="0" fillId="6" fontId="1" numFmtId="0" xfId="0" applyFill="1" applyFont="1"/>
    <xf borderId="29" fillId="5" fontId="6" numFmtId="0" xfId="0" applyAlignment="1" applyBorder="1" applyFill="1" applyFont="1">
      <alignment horizontal="center" readingOrder="0" vertical="center"/>
    </xf>
    <xf borderId="30" fillId="0" fontId="4" numFmtId="0" xfId="0" applyBorder="1" applyFont="1"/>
    <xf borderId="31" fillId="0" fontId="4" numFmtId="0" xfId="0" applyBorder="1" applyFont="1"/>
    <xf borderId="32" fillId="6" fontId="7" numFmtId="0" xfId="0" applyAlignment="1" applyBorder="1" applyFill="1" applyFont="1">
      <alignment horizontal="center" readingOrder="0" vertical="center"/>
    </xf>
    <xf borderId="33" fillId="0" fontId="4" numFmtId="0" xfId="0" applyBorder="1" applyFont="1"/>
    <xf borderId="34" fillId="0" fontId="4" numFmtId="0" xfId="0" applyBorder="1" applyFont="1"/>
    <xf borderId="35" fillId="6" fontId="8" numFmtId="0" xfId="0" applyAlignment="1" applyBorder="1" applyFill="1" applyFont="1">
      <alignment horizontal="center" readingOrder="0" vertical="center"/>
    </xf>
    <xf borderId="36" fillId="6" fontId="8" numFmtId="165" xfId="0" applyAlignment="1" applyBorder="1" applyFill="1" applyFont="1" applyNumberFormat="1">
      <alignment horizontal="center" vertical="center"/>
    </xf>
    <xf borderId="36" fillId="6" fontId="8" numFmtId="0" xfId="0" applyAlignment="1" applyBorder="1" applyFill="1" applyFont="1">
      <alignment horizontal="center" readingOrder="0" vertical="center"/>
    </xf>
    <xf borderId="37" fillId="6" fontId="8" numFmtId="165" xfId="0" applyAlignment="1" applyBorder="1" applyFill="1" applyFont="1" applyNumberFormat="1">
      <alignment horizontal="center" vertical="center"/>
    </xf>
    <xf borderId="0" fillId="5" fontId="8" numFmtId="0" xfId="0" applyAlignment="1" applyFill="1" applyFont="1">
      <alignment horizontal="center" vertical="center"/>
    </xf>
    <xf borderId="38" fillId="6" fontId="8" numFmtId="0" xfId="0" applyAlignment="1" applyBorder="1" applyFill="1" applyFont="1">
      <alignment horizontal="center" readingOrder="0" vertical="center"/>
    </xf>
    <xf borderId="37" fillId="6" fontId="8" numFmtId="0" xfId="0" applyAlignment="1" applyBorder="1" applyFill="1" applyFont="1">
      <alignment horizontal="center" readingOrder="0" vertical="center"/>
    </xf>
    <xf borderId="38" fillId="0" fontId="4" numFmtId="0" xfId="0" applyBorder="1" applyFont="1"/>
    <xf borderId="39" fillId="6" fontId="8" numFmtId="165" xfId="0" applyAlignment="1" applyBorder="1" applyFill="1" applyFont="1" applyNumberFormat="1">
      <alignment horizontal="center" readingOrder="0" vertical="center"/>
    </xf>
    <xf borderId="40" fillId="5" fontId="1" numFmtId="0" xfId="0" applyBorder="1" applyFill="1" applyFont="1"/>
    <xf borderId="41" fillId="5" fontId="1" numFmtId="0" xfId="0" applyBorder="1" applyFill="1" applyFont="1"/>
    <xf borderId="40" fillId="0" fontId="1" numFmtId="0" xfId="0" applyBorder="1" applyFont="1"/>
    <xf borderId="41" fillId="0" fontId="1" numFmtId="0" xfId="0" applyBorder="1" applyFont="1"/>
    <xf borderId="42" fillId="6" fontId="8" numFmtId="0" xfId="0" applyAlignment="1" applyBorder="1" applyFill="1" applyFont="1">
      <alignment horizontal="center" readingOrder="0" vertical="center"/>
    </xf>
    <xf borderId="37" fillId="6" fontId="8" numFmtId="165" xfId="0" applyAlignment="1" applyBorder="1" applyFill="1" applyFont="1" applyNumberFormat="1">
      <alignment horizontal="center" readingOrder="0" vertical="center"/>
    </xf>
    <xf borderId="0" fillId="5" fontId="8" numFmtId="0" xfId="0" applyAlignment="1" applyFill="1" applyFont="1">
      <alignment horizontal="center" readingOrder="0" vertical="center"/>
    </xf>
    <xf borderId="43" fillId="6" fontId="8" numFmtId="0" xfId="0" applyAlignment="1" applyBorder="1" applyFill="1" applyFont="1">
      <alignment horizontal="center" readingOrder="0" vertical="center"/>
    </xf>
    <xf borderId="43" fillId="0" fontId="4" numFmtId="0" xfId="0" applyBorder="1" applyFont="1"/>
    <xf borderId="44" fillId="0" fontId="4" numFmtId="0" xfId="0" applyBorder="1" applyFont="1"/>
    <xf borderId="45" fillId="6" fontId="9" numFmtId="0" xfId="0" applyAlignment="1" applyBorder="1" applyFill="1" applyFont="1">
      <alignment horizontal="center" readingOrder="0" vertical="center"/>
    </xf>
    <xf borderId="46" fillId="0" fontId="4" numFmtId="0" xfId="0" applyBorder="1" applyFont="1"/>
    <xf borderId="47" fillId="0" fontId="4" numFmtId="0" xfId="0" applyBorder="1" applyFont="1"/>
    <xf borderId="40" fillId="5" fontId="1" numFmtId="0" xfId="0" applyAlignment="1" applyBorder="1" applyFill="1" applyFont="1">
      <alignment readingOrder="0"/>
    </xf>
    <xf borderId="48" fillId="0" fontId="1" numFmtId="0" xfId="0" applyBorder="1" applyFont="1"/>
    <xf borderId="49" fillId="0" fontId="1" numFmtId="0" xfId="0" applyBorder="1" applyFont="1"/>
    <xf borderId="49" fillId="5" fontId="1" numFmtId="0" xfId="0" applyBorder="1" applyFill="1" applyFont="1"/>
    <xf borderId="50" fillId="0" fontId="1" numFmtId="0" xfId="0" applyBorder="1" applyFont="1"/>
    <xf borderId="0" fillId="6" fontId="1" numFmtId="0" xfId="0" applyAlignment="1" applyFill="1" applyFont="1">
      <alignment readingOrder="0"/>
    </xf>
    <xf borderId="0" fillId="6" fontId="1" numFmtId="165" xfId="0" applyFill="1" applyFont="1" applyNumberFormat="1"/>
    <xf borderId="0" fillId="7" fontId="1" numFmtId="0" xfId="0" applyFill="1" applyFont="1"/>
    <xf borderId="51" fillId="3" fontId="2" numFmtId="0" xfId="0" applyAlignment="1" applyBorder="1" applyFill="1" applyFont="1">
      <alignment horizontal="center" readingOrder="0" vertical="center"/>
    </xf>
    <xf borderId="12" fillId="0" fontId="4" numFmtId="0" xfId="0" applyBorder="1" applyFont="1"/>
    <xf borderId="13" fillId="3" fontId="2" numFmtId="0" xfId="0" applyAlignment="1" applyBorder="1" applyFill="1" applyFont="1">
      <alignment horizontal="center" readingOrder="0"/>
    </xf>
    <xf borderId="17" fillId="3" fontId="2" numFmtId="0" xfId="0" applyAlignment="1" applyBorder="1" applyFill="1" applyFont="1">
      <alignment horizontal="center" readingOrder="0"/>
    </xf>
    <xf borderId="0" fillId="7" fontId="1" numFmtId="167" xfId="0" applyAlignment="1" applyFill="1" applyFont="1" applyNumberFormat="1">
      <alignment readingOrder="0"/>
    </xf>
    <xf borderId="13" fillId="0" fontId="1" numFmtId="168" xfId="0" applyAlignment="1" applyBorder="1" applyFont="1" applyNumberFormat="1">
      <alignment horizontal="center" readingOrder="0"/>
    </xf>
    <xf borderId="5" fillId="0" fontId="1" numFmtId="165" xfId="0" applyAlignment="1" applyBorder="1" applyFont="1" applyNumberFormat="1">
      <alignment horizontal="center"/>
    </xf>
    <xf borderId="17" fillId="0" fontId="1" numFmtId="10" xfId="0" applyAlignment="1" applyBorder="1" applyFont="1" applyNumberFormat="1">
      <alignment horizontal="center"/>
    </xf>
    <xf borderId="5" fillId="0" fontId="1" numFmtId="165" xfId="0" applyAlignment="1" applyBorder="1" applyFont="1" applyNumberFormat="1">
      <alignment horizontal="center" readingOrder="0"/>
    </xf>
    <xf borderId="13" fillId="0" fontId="1" numFmtId="167" xfId="0" applyAlignment="1" applyBorder="1" applyFont="1" applyNumberFormat="1">
      <alignment horizontal="center" readingOrder="0"/>
    </xf>
    <xf borderId="13" fillId="0" fontId="1" numFmtId="169" xfId="0" applyAlignment="1" applyBorder="1" applyFont="1" applyNumberFormat="1">
      <alignment horizontal="center" readingOrder="0"/>
    </xf>
    <xf borderId="13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/>
    </xf>
    <xf borderId="21" fillId="0" fontId="1" numFmtId="0" xfId="0" applyAlignment="1" applyBorder="1" applyFont="1">
      <alignment horizontal="center"/>
    </xf>
    <xf borderId="21" fillId="0" fontId="1" numFmtId="165" xfId="0" applyAlignment="1" applyBorder="1" applyFont="1" applyNumberFormat="1">
      <alignment horizontal="center"/>
    </xf>
    <xf borderId="52" fillId="0" fontId="1" numFmtId="10" xfId="0" applyAlignment="1" applyBorder="1" applyFont="1" applyNumberFormat="1">
      <alignment horizontal="center"/>
    </xf>
    <xf borderId="13" fillId="0" fontId="1" numFmtId="170" xfId="0" applyAlignment="1" applyBorder="1" applyFont="1" applyNumberFormat="1">
      <alignment readingOrder="0"/>
    </xf>
    <xf borderId="5" fillId="0" fontId="1" numFmtId="0" xfId="0" applyAlignment="1" applyBorder="1" applyFont="1">
      <alignment readingOrder="0"/>
    </xf>
    <xf borderId="5" fillId="0" fontId="1" numFmtId="171" xfId="0" applyAlignment="1" applyBorder="1" applyFont="1" applyNumberFormat="1">
      <alignment readingOrder="0"/>
    </xf>
    <xf borderId="5" fillId="0" fontId="1" numFmtId="171" xfId="0" applyBorder="1" applyFont="1" applyNumberFormat="1"/>
    <xf borderId="13" fillId="0" fontId="1" numFmtId="172" xfId="0" applyAlignment="1" applyBorder="1" applyFont="1" applyNumberFormat="1">
      <alignment readingOrder="0"/>
    </xf>
    <xf borderId="0" fillId="0" fontId="1" numFmtId="171" xfId="0" applyFont="1" applyNumberForma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5" fillId="0" fontId="1" numFmtId="171" xfId="0" applyAlignment="1" applyBorder="1" applyFont="1" applyNumberFormat="1">
      <alignment readingOrder="0"/>
    </xf>
    <xf borderId="5" fillId="0" fontId="1" numFmtId="171" xfId="0" applyBorder="1" applyFont="1" applyNumberFormat="1"/>
    <xf borderId="13" fillId="0" fontId="1" numFmtId="173" xfId="0" applyAlignment="1" applyBorder="1" applyFont="1" applyNumberFormat="1">
      <alignment readingOrder="0"/>
    </xf>
    <xf borderId="0" fillId="0" fontId="1" numFmtId="171" xfId="0" applyAlignment="1" applyFont="1" applyNumberFormat="1">
      <alignment readingOrder="0"/>
    </xf>
    <xf borderId="5" fillId="0" fontId="1" numFmtId="165" xfId="0" applyAlignment="1" applyBorder="1" applyFont="1" applyNumberFormat="1">
      <alignment readingOrder="0"/>
    </xf>
    <xf borderId="5" fillId="0" fontId="1" numFmtId="165" xfId="0" applyBorder="1" applyFont="1" applyNumberFormat="1"/>
    <xf borderId="24" fillId="0" fontId="1" numFmtId="0" xfId="0" applyAlignment="1" applyBorder="1" applyFont="1">
      <alignment readingOrder="0"/>
    </xf>
    <xf borderId="21" fillId="0" fontId="1" numFmtId="0" xfId="0" applyAlignment="1" applyBorder="1" applyFont="1">
      <alignment readingOrder="0"/>
    </xf>
    <xf borderId="20" fillId="0" fontId="1" numFmtId="170" xfId="0" applyAlignment="1" applyBorder="1" applyFont="1" applyNumberFormat="1">
      <alignment readingOrder="0"/>
    </xf>
    <xf borderId="53" fillId="0" fontId="1" numFmtId="170" xfId="0" applyAlignment="1" applyBorder="1" applyFont="1" applyNumberFormat="1">
      <alignment readingOrder="0"/>
    </xf>
    <xf borderId="5" fillId="3" fontId="3" numFmtId="165" xfId="0" applyAlignment="1" applyBorder="1" applyFill="1" applyFont="1" applyNumberFormat="1">
      <alignment horizontal="center" readingOrder="0"/>
    </xf>
    <xf borderId="5" fillId="0" fontId="1" numFmtId="170" xfId="0" applyAlignment="1" applyBorder="1" applyFont="1" applyNumberFormat="1">
      <alignment readingOrder="0"/>
    </xf>
    <xf borderId="1" fillId="4" fontId="5" numFmtId="0" xfId="0" applyAlignment="1" applyBorder="1" applyFill="1" applyFont="1">
      <alignment readingOrder="0" vertical="center"/>
    </xf>
    <xf borderId="5" fillId="0" fontId="1" numFmtId="174" xfId="0" applyAlignment="1" applyBorder="1" applyFont="1" applyNumberFormat="1">
      <alignment readingOrder="0"/>
    </xf>
    <xf borderId="10" fillId="3" fontId="2" numFmtId="0" xfId="0" applyAlignment="1" applyBorder="1" applyFill="1" applyFont="1">
      <alignment horizontal="center" readingOrder="0" vertical="center"/>
    </xf>
    <xf borderId="11" fillId="3" fontId="2" numFmtId="0" xfId="0" applyAlignment="1" applyBorder="1" applyFill="1" applyFont="1">
      <alignment horizontal="center" readingOrder="0" vertical="center"/>
    </xf>
    <xf borderId="10" fillId="3" fontId="2" numFmtId="0" xfId="0" applyAlignment="1" applyBorder="1" applyFill="1" applyFont="1">
      <alignment horizontal="center" readingOrder="0"/>
    </xf>
    <xf borderId="17" fillId="0" fontId="1" numFmtId="165" xfId="0" applyAlignment="1" applyBorder="1" applyFont="1" applyNumberFormat="1">
      <alignment readingOrder="0"/>
    </xf>
    <xf borderId="13" fillId="8" fontId="1" numFmtId="170" xfId="0" applyAlignment="1" applyBorder="1" applyFill="1" applyFont="1" applyNumberFormat="1">
      <alignment readingOrder="0"/>
    </xf>
    <xf borderId="54" fillId="0" fontId="1" numFmtId="165" xfId="0" applyBorder="1" applyFont="1" applyNumberFormat="1"/>
    <xf borderId="5" fillId="8" fontId="1" numFmtId="0" xfId="0" applyAlignment="1" applyBorder="1" applyFill="1" applyFont="1">
      <alignment readingOrder="0"/>
    </xf>
    <xf borderId="5" fillId="8" fontId="1" numFmtId="165" xfId="0" applyAlignment="1" applyBorder="1" applyFill="1" applyFont="1" applyNumberFormat="1">
      <alignment readingOrder="0"/>
    </xf>
    <xf borderId="13" fillId="9" fontId="1" numFmtId="170" xfId="0" applyAlignment="1" applyBorder="1" applyFill="1" applyFont="1" applyNumberFormat="1">
      <alignment readingOrder="0"/>
    </xf>
    <xf borderId="5" fillId="9" fontId="1" numFmtId="0" xfId="0" applyAlignment="1" applyBorder="1" applyFill="1" applyFont="1">
      <alignment readingOrder="0"/>
    </xf>
    <xf borderId="5" fillId="9" fontId="1" numFmtId="165" xfId="0" applyAlignment="1" applyBorder="1" applyFill="1" applyFont="1" applyNumberFormat="1">
      <alignment readingOrder="0"/>
    </xf>
    <xf borderId="0" fillId="10" fontId="1" numFmtId="0" xfId="0" applyFill="1" applyFont="1"/>
    <xf borderId="17" fillId="10" fontId="1" numFmtId="165" xfId="0" applyAlignment="1" applyBorder="1" applyFill="1" applyFont="1" applyNumberFormat="1">
      <alignment readingOrder="0"/>
    </xf>
    <xf borderId="20" fillId="3" fontId="2" numFmtId="0" xfId="0" applyAlignment="1" applyBorder="1" applyFill="1" applyFont="1">
      <alignment horizontal="center" readingOrder="0"/>
    </xf>
    <xf borderId="52" fillId="10" fontId="1" numFmtId="10" xfId="0" applyAlignment="1" applyBorder="1" applyFill="1" applyFont="1" applyNumberFormat="1">
      <alignment readingOrder="0"/>
    </xf>
    <xf borderId="13" fillId="9" fontId="1" numFmtId="0" xfId="0" applyBorder="1" applyFill="1" applyFont="1"/>
    <xf borderId="5" fillId="9" fontId="1" numFmtId="0" xfId="0" applyBorder="1" applyFill="1" applyFont="1"/>
    <xf borderId="5" fillId="9" fontId="1" numFmtId="165" xfId="0" applyBorder="1" applyFill="1" applyFont="1" applyNumberFormat="1"/>
    <xf borderId="13" fillId="8" fontId="1" numFmtId="0" xfId="0" applyBorder="1" applyFill="1" applyFont="1"/>
    <xf borderId="5" fillId="8" fontId="1" numFmtId="0" xfId="0" applyBorder="1" applyFill="1" applyFont="1"/>
    <xf borderId="5" fillId="8" fontId="1" numFmtId="165" xfId="0" applyBorder="1" applyFill="1" applyFont="1" applyNumberFormat="1"/>
    <xf borderId="13" fillId="8" fontId="1" numFmtId="172" xfId="0" applyAlignment="1" applyBorder="1" applyFill="1" applyFont="1" applyNumberFormat="1">
      <alignment readingOrder="0"/>
    </xf>
    <xf borderId="20" fillId="9" fontId="1" numFmtId="0" xfId="0" applyBorder="1" applyFill="1" applyFont="1"/>
    <xf borderId="21" fillId="9" fontId="1" numFmtId="0" xfId="0" applyBorder="1" applyFill="1" applyFont="1"/>
    <xf borderId="21" fillId="9" fontId="1" numFmtId="165" xfId="0" applyBorder="1" applyFill="1" applyFont="1" applyNumberFormat="1"/>
    <xf borderId="13" fillId="9" fontId="1" numFmtId="172" xfId="0" applyAlignment="1" applyBorder="1" applyFill="1" applyFont="1" applyNumberFormat="1">
      <alignment readingOrder="0"/>
    </xf>
    <xf borderId="54" fillId="0" fontId="1" numFmtId="0" xfId="0" applyAlignment="1" applyBorder="1" applyFont="1">
      <alignment readingOrder="0"/>
    </xf>
    <xf borderId="0" fillId="0" fontId="1" numFmtId="165" xfId="0" applyAlignment="1" applyFont="1" applyNumberFormat="1">
      <alignment readingOrder="0"/>
    </xf>
    <xf borderId="20" fillId="9" fontId="1" numFmtId="170" xfId="0" applyAlignment="1" applyBorder="1" applyFill="1" applyFont="1" applyNumberFormat="1">
      <alignment readingOrder="0"/>
    </xf>
    <xf borderId="21" fillId="9" fontId="1" numFmtId="0" xfId="0" applyAlignment="1" applyBorder="1" applyFill="1" applyFont="1">
      <alignment readingOrder="0"/>
    </xf>
    <xf borderId="21" fillId="9" fontId="1" numFmtId="165" xfId="0" applyAlignment="1" applyBorder="1" applyFill="1" applyFont="1" applyNumberFormat="1">
      <alignment readingOrder="0"/>
    </xf>
    <xf borderId="17" fillId="10" fontId="1" numFmtId="0" xfId="0" applyAlignment="1" applyBorder="1" applyFill="1" applyFont="1">
      <alignment readingOrder="0"/>
    </xf>
    <xf borderId="5" fillId="0" fontId="10" numFmtId="0" xfId="0" applyAlignment="1" applyBorder="1" applyFont="1">
      <alignment readingOrder="0" vertical="bottom"/>
    </xf>
    <xf borderId="5" fillId="0" fontId="10" numFmtId="0" xfId="0" applyAlignment="1" applyBorder="1" applyFont="1">
      <alignment vertical="bottom"/>
    </xf>
    <xf borderId="0" fillId="0" fontId="1" numFmtId="10" xfId="0" applyFont="1" applyNumberFormat="1"/>
    <xf borderId="5" fillId="0" fontId="10" numFmtId="175" xfId="0" applyAlignment="1" applyBorder="1" applyFont="1" applyNumberFormat="1">
      <alignment vertical="bottom"/>
    </xf>
    <xf borderId="6" fillId="0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23">
    <tableStyle count="2" pivot="0" name="AtivoChove-style">
      <tableStyleElement dxfId="1" type="firstRowStripe"/>
      <tableStyleElement dxfId="2" type="secondRowStripe"/>
    </tableStyle>
    <tableStyle count="2" pivot="0" name="AAPL-style">
      <tableStyleElement dxfId="1" type="firstRowStripe"/>
      <tableStyleElement dxfId="2" type="secondRowStripe"/>
    </tableStyle>
    <tableStyle count="2" pivot="0" name="NFLX-style">
      <tableStyleElement dxfId="1" type="firstRowStripe"/>
      <tableStyleElement dxfId="2" type="secondRowStripe"/>
    </tableStyle>
    <tableStyle count="2" pivot="0" name="META-style">
      <tableStyleElement dxfId="1" type="firstRowStripe"/>
      <tableStyleElement dxfId="2" type="secondRowStripe"/>
    </tableStyle>
    <tableStyle count="2" pivot="0" name="FAST-style">
      <tableStyleElement dxfId="1" type="firstRowStripe"/>
      <tableStyleElement dxfId="2" type="secondRowStripe"/>
    </tableStyle>
    <tableStyle count="2" pivot="0" name="KO-style">
      <tableStyleElement dxfId="1" type="firstRowStripe"/>
      <tableStyleElement dxfId="2" type="secondRowStripe"/>
    </tableStyle>
    <tableStyle count="2" pivot="0" name="APH-style">
      <tableStyleElement dxfId="1" type="firstRowStripe"/>
      <tableStyleElement dxfId="2" type="secondRowStripe"/>
    </tableStyle>
    <tableStyle count="2" pivot="0" name="EGIE3-style">
      <tableStyleElement dxfId="1" type="firstRowStripe"/>
      <tableStyleElement dxfId="2" type="secondRowStripe"/>
    </tableStyle>
    <tableStyle count="2" pivot="0" name="KNRI11-style">
      <tableStyleElement dxfId="1" type="firstRowStripe"/>
      <tableStyleElement dxfId="2" type="secondRowStripe"/>
    </tableStyle>
    <tableStyle count="2" pivot="0" name="HGRU11-style">
      <tableStyleElement dxfId="1" type="firstRowStripe"/>
      <tableStyleElement dxfId="2" type="secondRowStripe"/>
    </tableStyle>
    <tableStyle count="2" pivot="0" name="HGLG11-style">
      <tableStyleElement dxfId="1" type="firstRowStripe"/>
      <tableStyleElement dxfId="2" type="secondRowStripe"/>
    </tableStyle>
    <tableStyle count="2" pivot="0" name="VISC11-style">
      <tableStyleElement dxfId="1" type="firstRowStripe"/>
      <tableStyleElement dxfId="2" type="secondRowStripe"/>
    </tableStyle>
    <tableStyle count="2" pivot="0" name="ITUB3-style">
      <tableStyleElement dxfId="1" type="firstRowStripe"/>
      <tableStyleElement dxfId="2" type="secondRowStripe"/>
    </tableStyle>
    <tableStyle count="2" pivot="0" name="WEGE3-style">
      <tableStyleElement dxfId="1" type="firstRowStripe"/>
      <tableStyleElement dxfId="2" type="secondRowStripe"/>
    </tableStyle>
    <tableStyle count="2" pivot="0" name="TAEE3-style">
      <tableStyleElement dxfId="1" type="firstRowStripe"/>
      <tableStyleElement dxfId="2" type="secondRowStripe"/>
    </tableStyle>
    <tableStyle count="2" pivot="0" name="PSSA3-style">
      <tableStyleElement dxfId="1" type="firstRowStripe"/>
      <tableStyleElement dxfId="2" type="secondRowStripe"/>
    </tableStyle>
    <tableStyle count="2" pivot="0" name="B3SA3-style">
      <tableStyleElement dxfId="1" type="firstRowStripe"/>
      <tableStyleElement dxfId="2" type="secondRowStripe"/>
    </tableStyle>
    <tableStyle count="2" pivot="0" name="BBDC3-style">
      <tableStyleElement dxfId="1" type="firstRowStripe"/>
      <tableStyleElement dxfId="2" type="secondRowStripe"/>
    </tableStyle>
    <tableStyle count="2" pivot="0" name="HYPE3-style">
      <tableStyleElement dxfId="1" type="firstRowStripe"/>
      <tableStyleElement dxfId="2" type="secondRowStripe"/>
    </tableStyle>
    <tableStyle count="2" pivot="0" name="ABEV3-style">
      <tableStyleElement dxfId="1" type="firstRowStripe"/>
      <tableStyleElement dxfId="2" type="secondRowStripe"/>
    </tableStyle>
    <tableStyle count="2" pivot="0" name="BTC-style">
      <tableStyleElement dxfId="1" type="firstRowStripe"/>
      <tableStyleElement dxfId="2" type="secondRowStripe"/>
    </tableStyle>
    <tableStyle count="2" pivot="0" name="ETH-style">
      <tableStyleElement dxfId="1" type="firstRowStripe"/>
      <tableStyleElement dxfId="2" type="secondRowStripe"/>
    </tableStyle>
    <tableStyle count="2" pivot="0" name="PAXGOLD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pivotCacheDefinition" Target="pivotCache/pivotCacheDefinition1.xml"/><Relationship Id="rId47" Type="http://schemas.openxmlformats.org/officeDocument/2006/relationships/worksheet" Target="worksheets/sheet43.xml"/><Relationship Id="rId4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lt1"/>
                </a:solidFill>
                <a:latin typeface="+mn-lt"/>
              </a:defRPr>
            </a:pPr>
            <a:r>
              <a:rPr b="1">
                <a:solidFill>
                  <a:schemeClr val="lt1"/>
                </a:solidFill>
                <a:latin typeface="+mn-lt"/>
              </a:rPr>
              <a:t>Ações/Stocks/Criptos por setor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 - RV'!$Q$1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'Tabela dinâmica - RV'!$P$2:$P$1000</c:f>
            </c:strRef>
          </c:cat>
          <c:val>
            <c:numRef>
              <c:f>'Tabela dinâmica - RV'!$Q$2:$Q$1000</c:f>
              <c:numCache/>
            </c:numRef>
          </c:val>
        </c:ser>
        <c:axId val="1046991724"/>
        <c:axId val="1788001312"/>
      </c:barChart>
      <c:catAx>
        <c:axId val="1046991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</a:p>
        </c:txPr>
        <c:crossAx val="1788001312"/>
      </c:catAx>
      <c:valAx>
        <c:axId val="1788001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chemeClr val="lt1"/>
                </a:solidFill>
                <a:latin typeface="+mn-lt"/>
              </a:defRPr>
            </a:pPr>
          </a:p>
        </c:txPr>
        <c:crossAx val="10469917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lt1"/>
                </a:solidFill>
                <a:latin typeface="+mn-lt"/>
              </a:defRPr>
            </a:pPr>
            <a:r>
              <a:rPr b="1">
                <a:solidFill>
                  <a:schemeClr val="lt1"/>
                </a:solidFill>
                <a:latin typeface="+mn-lt"/>
              </a:rPr>
              <a:t>FIIs/REITs por setor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 - RV'!$T$1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'Tabela dinâmica - RV'!$S$2:$S$8</c:f>
            </c:strRef>
          </c:cat>
          <c:val>
            <c:numRef>
              <c:f>'Tabela dinâmica - RV'!$T$2:$T$8</c:f>
              <c:numCache/>
            </c:numRef>
          </c:val>
        </c:ser>
        <c:axId val="1909764196"/>
        <c:axId val="1570737063"/>
      </c:barChart>
      <c:catAx>
        <c:axId val="1909764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chemeClr val="lt1"/>
                </a:solidFill>
                <a:latin typeface="+mn-lt"/>
              </a:defRPr>
            </a:pPr>
          </a:p>
        </c:txPr>
        <c:crossAx val="1570737063"/>
      </c:catAx>
      <c:valAx>
        <c:axId val="1570737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chemeClr val="lt1"/>
                </a:solidFill>
                <a:latin typeface="+mn-lt"/>
              </a:defRPr>
            </a:pPr>
          </a:p>
        </c:txPr>
        <c:crossAx val="19097641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lt1"/>
                </a:solidFill>
                <a:latin typeface="+mn-lt"/>
              </a:defRPr>
            </a:pPr>
            <a:r>
              <a:rPr b="1">
                <a:solidFill>
                  <a:schemeClr val="lt1"/>
                </a:solidFill>
                <a:latin typeface="+mn-lt"/>
              </a:rPr>
              <a:t>Composição da carteira variável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27208835341365464"/>
          <c:y val="0.05"/>
          <c:w val="0.9475903614457831"/>
          <c:h val="0.8999999999999999"/>
        </c:manualLayout>
      </c:layout>
      <c:pie3DChart>
        <c:varyColors val="1"/>
        <c:ser>
          <c:idx val="0"/>
          <c:order val="0"/>
          <c:tx>
            <c:strRef>
              <c:f>'Tabela dinâmica - RV'!$I$1</c:f>
            </c:strRef>
          </c:tx>
          <c:dPt>
            <c:idx val="0"/>
            <c:spPr>
              <a:solidFill>
                <a:srgbClr val="5891AD"/>
              </a:solidFill>
            </c:spPr>
          </c:dPt>
          <c:dPt>
            <c:idx val="1"/>
            <c:spPr>
              <a:solidFill>
                <a:srgbClr val="004561"/>
              </a:solidFill>
            </c:spPr>
          </c:dPt>
          <c:dPt>
            <c:idx val="2"/>
            <c:spPr>
              <a:solidFill>
                <a:srgbClr val="FF6F31"/>
              </a:solidFill>
            </c:spPr>
          </c:dPt>
          <c:dPt>
            <c:idx val="3"/>
            <c:spPr>
              <a:solidFill>
                <a:srgbClr val="1C7685"/>
              </a:solidFill>
            </c:spPr>
          </c:dPt>
          <c:dPt>
            <c:idx val="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'Tabela dinâmica - RV'!$H$2:$H$6</c:f>
            </c:strRef>
          </c:cat>
          <c:val>
            <c:numRef>
              <c:f>'Tabela dinâmica - RV'!$I$2:$I$6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lt1"/>
                </a:solidFill>
                <a:latin typeface="+mn-lt"/>
              </a:defRPr>
            </a:pPr>
            <a:r>
              <a:rPr b="1">
                <a:solidFill>
                  <a:schemeClr val="lt1"/>
                </a:solidFill>
                <a:latin typeface="+mn-lt"/>
              </a:rPr>
              <a:t>Composição da Carteira Fixa (por aplicação)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'Tabela dinâmica - RF'!$C$1</c:f>
            </c:strRef>
          </c:tx>
          <c:dPt>
            <c:idx val="0"/>
            <c:spPr>
              <a:solidFill>
                <a:srgbClr val="5891AD"/>
              </a:solidFill>
            </c:spPr>
          </c:dPt>
          <c:dPt>
            <c:idx val="1"/>
            <c:spPr>
              <a:solidFill>
                <a:srgbClr val="004561"/>
              </a:solidFill>
            </c:spPr>
          </c:dPt>
          <c:dPt>
            <c:idx val="2"/>
            <c:spPr>
              <a:solidFill>
                <a:srgbClr val="FF6F31"/>
              </a:solidFill>
            </c:spPr>
          </c:dPt>
          <c:dPt>
            <c:idx val="3"/>
            <c:spPr>
              <a:solidFill>
                <a:srgbClr val="1C7685"/>
              </a:solidFill>
            </c:spPr>
          </c:dPt>
          <c:dPt>
            <c:idx val="4"/>
            <c:spPr>
              <a:solidFill>
                <a:srgbClr val="0F45A8"/>
              </a:solidFill>
            </c:spPr>
          </c:dPt>
          <c:dPt>
            <c:idx val="5"/>
          </c:dPt>
          <c:dPt>
            <c:idx val="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'Tabela dinâmica - RF'!$A$2:$A$8</c:f>
            </c:strRef>
          </c:cat>
          <c:val>
            <c:numRef>
              <c:f>'Tabela dinâmica - RF'!$C$2:$C$8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Composição da Carteira Fixa (por tipo)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'Tabela dinâmica - RF'!$I$1</c:f>
            </c:strRef>
          </c:tx>
          <c:dPt>
            <c:idx val="0"/>
            <c:spPr>
              <a:solidFill>
                <a:srgbClr val="5891AD"/>
              </a:solidFill>
            </c:spPr>
          </c:dPt>
          <c:dPt>
            <c:idx val="1"/>
          </c:dPt>
          <c:dPt>
            <c:idx val="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'Tabela dinâmica - RF'!$H$2:$H$4</c:f>
            </c:strRef>
          </c:cat>
          <c:val>
            <c:numRef>
              <c:f>'Tabela dinâmica - RF'!$I$2:$I$4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Composição geral da carteira (Fixa e variável)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5891AD"/>
              </a:solidFill>
            </c:spPr>
          </c:dPt>
          <c:dPt>
            <c:idx val="1"/>
            <c:spPr>
              <a:solidFill>
                <a:srgbClr val="00456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Resumo!$W$261:$W$262</c:f>
            </c:strRef>
          </c:cat>
          <c:val>
            <c:numRef>
              <c:f>Resumo!$X$261:$X$262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Evolução de patrimônio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'Evolução Patrimônio'!$F$3</c:f>
            </c:strRef>
          </c:tx>
          <c:spPr>
            <a:ln cmpd="sng">
              <a:solidFill>
                <a:srgbClr val="00FFFF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00FFFF">
                  <a:alpha val="100000"/>
                </a:srgbClr>
              </a:solidFill>
              <a:ln cmpd="sng">
                <a:solidFill>
                  <a:srgbClr val="00FFFF">
                    <a:alpha val="100000"/>
                  </a:srgbClr>
                </a:solidFill>
              </a:ln>
            </c:spPr>
          </c:marker>
          <c:cat>
            <c:strRef>
              <c:f>'Evolução Patrimônio'!$B$4:$B$191</c:f>
            </c:strRef>
          </c:cat>
          <c:val>
            <c:numRef>
              <c:f>'Evolução Patrimônio'!$F$4:$F$191</c:f>
              <c:numCache/>
            </c:numRef>
          </c:val>
          <c:smooth val="0"/>
        </c:ser>
        <c:axId val="533286127"/>
        <c:axId val="642252798"/>
      </c:lineChart>
      <c:catAx>
        <c:axId val="533286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chemeClr val="lt1"/>
                </a:solidFill>
                <a:latin typeface="+mn-lt"/>
              </a:defRPr>
            </a:pPr>
          </a:p>
        </c:txPr>
        <c:crossAx val="642252798"/>
      </c:catAx>
      <c:valAx>
        <c:axId val="6422527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</a:p>
        </c:txPr>
        <c:crossAx val="533286127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5</xdr:row>
      <xdr:rowOff>0</xdr:rowOff>
    </xdr:from>
    <xdr:ext cx="6638925" cy="49720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5</xdr:row>
      <xdr:rowOff>19050</xdr:rowOff>
    </xdr:from>
    <xdr:ext cx="6638925" cy="49720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2028825</xdr:colOff>
      <xdr:row>30</xdr:row>
      <xdr:rowOff>180975</xdr:rowOff>
    </xdr:from>
    <xdr:ext cx="9486900" cy="50196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161925</xdr:colOff>
      <xdr:row>60</xdr:row>
      <xdr:rowOff>9525</xdr:rowOff>
    </xdr:from>
    <xdr:ext cx="6638925" cy="44100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0</xdr:colOff>
      <xdr:row>60</xdr:row>
      <xdr:rowOff>9525</xdr:rowOff>
    </xdr:from>
    <xdr:ext cx="6638925" cy="44100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2028825</xdr:colOff>
      <xdr:row>84</xdr:row>
      <xdr:rowOff>180975</xdr:rowOff>
    </xdr:from>
    <xdr:ext cx="9486900" cy="50196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161925</xdr:colOff>
      <xdr:row>111</xdr:row>
      <xdr:rowOff>0</xdr:rowOff>
    </xdr:from>
    <xdr:ext cx="13544550" cy="44100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295275</xdr:colOff>
      <xdr:row>1</xdr:row>
      <xdr:rowOff>9525</xdr:rowOff>
    </xdr:from>
    <xdr:ext cx="304800" cy="3429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323850</xdr:colOff>
      <xdr:row>1</xdr:row>
      <xdr:rowOff>9525</xdr:rowOff>
    </xdr:from>
    <xdr:ext cx="304800" cy="3429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3:L24" sheet="Carteira RV"/>
  </cacheSource>
  <cacheFields>
    <cacheField name="Código" numFmtId="0">
      <sharedItems>
        <s v="NFLX"/>
        <s v="AAPL"/>
        <s v="META"/>
        <s v="FAST"/>
        <s v="APH"/>
        <s v="KO"/>
        <s v="VISC11"/>
        <s v="KNRI11"/>
        <s v="HGRU11"/>
        <s v="HGLG11"/>
        <s v="B3SA3"/>
        <s v="WEGE3"/>
        <s v="TAEE3"/>
        <s v="PSSA3"/>
        <s v="ITUB3"/>
        <s v="HYPE3"/>
        <s v="EGIE3"/>
        <s v="BBDC3"/>
        <s v="ABEV3"/>
        <s v="BTCUSD"/>
        <s v="ETHUSD"/>
      </sharedItems>
    </cacheField>
    <cacheField name="Nome" numFmtId="0">
      <sharedItems>
        <s v="Netflix Inc"/>
        <s v="Apple Inc"/>
        <s v="Meta Platforms Inc"/>
        <s v="Fastenal Co"/>
        <s v="Amphenol Corp"/>
        <s v="Coca-Cola Co"/>
        <s v="Vinci Shopping Centers FI Imobiliario"/>
        <s v="Kinea Renda Imobiliaria FII"/>
        <s v="Patria Renda Urbana FII RL Unica"/>
        <s v="Patria Log FII RL"/>
        <s v="B3 SA Brasil Bolsa Balcao"/>
        <s v="Weg Cedear"/>
        <s v="Transmissora Alianca de Enrga Eltrca S/A"/>
        <s v="Porto Seguro SA"/>
        <s v="Itau Unibanco Holding Cedear"/>
        <s v="Hypera SA"/>
        <s v="Engie Brasil Energia SA"/>
        <s v="Banco Bradesco Cedear"/>
        <s v="Amebv Cedear"/>
        <s v="Bitcoin"/>
        <s v="Ethereum"/>
      </sharedItems>
    </cacheField>
    <cacheField name="Qtde" numFmtId="164">
      <sharedItems containsSemiMixedTypes="0" containsString="0" containsNumber="1">
        <n v="8.22765665"/>
        <n v="5.752720747160274"/>
        <n v="1.2685955500000001"/>
        <n v="32.42390251825028"/>
        <n v="27.64469783137374"/>
        <n v="19.252848348723994"/>
        <n v="42.0"/>
        <n v="30.0"/>
        <n v="39.0"/>
        <n v="28.0"/>
        <n v="386.0"/>
        <n v="126.0"/>
        <n v="406.0"/>
        <n v="120.0"/>
        <n v="142.0"/>
        <n v="211.0"/>
        <n v="161.00000000000003"/>
        <n v="376.0"/>
        <n v="378.0"/>
        <n v="0.0076392899999999965"/>
        <n v="0.17436967999999997"/>
      </sharedItems>
    </cacheField>
    <cacheField name="Preço Médio" numFmtId="165">
      <sharedItems containsSemiMixedTypes="0" containsString="0" containsNumber="1">
        <n v="577.82762663975"/>
        <n v="1167.121461517838"/>
        <n v="3747.5831550508856"/>
        <n v="203.54498246102426"/>
        <n v="237.0834215751432"/>
        <n v="350.7262682180727"/>
        <n v="107.6307142857143"/>
        <n v="145.70999999999998"/>
        <n v="124.41051282051282"/>
        <n v="157.94214285714287"/>
        <n v="12.484326424870465"/>
        <n v="42.027380952380945"/>
        <n v="12.204655172413794"/>
        <n v="33.16125"/>
        <n v="29.209718309859152"/>
        <n v="25.613554502369674"/>
        <n v="29.905080745341607"/>
        <n v="13.606781914893617"/>
        <n v="13.286031746031746"/>
        <n v="159254.36133275926"/>
        <n v="6284.173965255627"/>
      </sharedItems>
    </cacheField>
    <cacheField name="Valor Investido" numFmtId="165">
      <sharedItems containsSemiMixedTypes="0" containsString="0" containsNumber="1">
        <n v="4754.167314876257"/>
        <n v="6714.123846129688"/>
        <n v="4754.167313752514"/>
        <n v="6599.722669395214"/>
        <n v="6554.0995502730275"/>
        <n v="6752.479653916449"/>
        <n v="4520.490000000001"/>
        <n v="4371.299999999999"/>
        <n v="4852.01"/>
        <n v="4422.38"/>
        <n v="4818.95"/>
        <n v="5295.449999999999"/>
        <n v="4955.09"/>
        <n v="3979.3500000000004"/>
        <n v="4147.78"/>
        <n v="5404.460000000001"/>
        <n v="4814.718"/>
        <n v="5116.15"/>
        <n v="5022.12"/>
        <n v="2667.1440057031105"/>
        <n v="1976.2117735784"/>
      </sharedItems>
    </cacheField>
    <cacheField name="Valor atual" numFmtId="165">
      <sharedItems containsSemiMixedTypes="0" containsString="0" containsNumber="1">
        <n v="3037.1021738962945"/>
        <n v="10179.46966168028"/>
        <n v="4947.125886667355"/>
        <n v="8483.256365668334"/>
        <n v="12060.478483905514"/>
        <n v="8770.963538106893"/>
        <n v="4318.02"/>
        <n v="4687.200000000001"/>
        <n v="4438.98"/>
        <n v="4140.08"/>
        <n v="6932.56"/>
        <n v="6434.82"/>
        <n v="5440.400000000001"/>
        <n v="5650.8"/>
        <n v="6544.780000000001"/>
        <n v="5175.83"/>
        <n v="4685.100000000001"/>
        <n v="5929.5199999999995"/>
        <n v="5790.96"/>
        <n v="3355.454838833371"/>
        <n v="2452.6114682151865"/>
      </sharedItems>
    </cacheField>
    <cacheField name="Cotação atual" numFmtId="165">
      <sharedItems containsSemiMixedTypes="0" containsString="0" containsNumber="1">
        <n v="369.133315"/>
        <n v="1769.5052669999998"/>
        <n v="3899.6872459999995"/>
        <n v="261.635883"/>
        <n v="436.26732899999996"/>
        <n v="455.56706099999997"/>
        <n v="102.81"/>
        <n v="156.24"/>
        <n v="113.82"/>
        <n v="147.86"/>
        <n v="17.96"/>
        <n v="51.07"/>
        <n v="13.4"/>
        <n v="47.09"/>
        <n v="46.09"/>
        <n v="24.53"/>
        <n v="29.1"/>
        <n v="15.77"/>
        <n v="15.32"/>
        <n v="439236.47862999997"/>
        <n v="14065.58449964"/>
      </sharedItems>
    </cacheField>
    <cacheField name="Rendimento %" numFmtId="10">
      <sharedItems containsSemiMixedTypes="0" containsString="0" containsNumber="1">
        <n v="-0.36117053255721493"/>
        <n v="0.516127777051382"/>
        <n v="0.0405872490765448"/>
        <n v="0.2853958856494985"/>
        <n v="0.8401427063162481"/>
        <n v="0.2989248376364555"/>
        <n v="-0.044789392300392264"/>
        <n v="0.0722668313773938"/>
        <n v="-0.08512554590777856"/>
        <n v="-0.06383440590813096"/>
        <n v="0.43860384523599555"/>
        <n v="0.215160184686854"/>
        <n v="0.09794171246132773"/>
        <n v="0.4200309095706584"/>
        <n v="0.577899502866594"/>
        <n v="-0.0423039489606734"/>
        <n v="-0.02692120286172494"/>
        <n v="0.15898087429023777"/>
        <n v="0.15309072662540923"/>
        <n v="0.2580703672761788"/>
        <n v="0.24106712701855426"/>
      </sharedItems>
    </cacheField>
    <cacheField name="Resultado R$" numFmtId="165">
      <sharedItems containsSemiMixedTypes="0" containsString="0" containsNumber="1">
        <n v="-1717.065140979962"/>
        <n v="3465.3458155505914"/>
        <n v="192.95857291484117"/>
        <n v="1883.5336962731199"/>
        <n v="5506.378933632486"/>
        <n v="2018.4838841904439"/>
        <n v="-202.47000000000025"/>
        <n v="315.90000000000146"/>
        <n v="-413.03000000000065"/>
        <n v="-282.3000000000002"/>
        <n v="2113.6100000000006"/>
        <n v="1139.3700000000008"/>
        <n v="485.3100000000004"/>
        <n v="1671.4499999999998"/>
        <n v="2397.000000000001"/>
        <n v="-228.63000000000102"/>
        <n v="-129.61799999999857"/>
        <n v="813.3699999999999"/>
        <n v="768.8400000000001"/>
        <n v="688.3108331302606"/>
        <n v="476.39969463678653"/>
      </sharedItems>
    </cacheField>
    <cacheField name="Tipo de Ativo" numFmtId="0">
      <sharedItems>
        <s v="Stock"/>
        <s v="Fii"/>
        <s v="Ação"/>
        <s v="Criptomoeda"/>
      </sharedItems>
    </cacheField>
    <cacheField name="Setor" numFmtId="0">
      <sharedItems>
        <s v="EUA"/>
        <s v="Electronic Components"/>
        <s v="Industrial Distribution"/>
        <s v="Non-Alcoholic beverages"/>
        <s v="BRL Trust DTVM"/>
        <s v="INTRAG"/>
        <s v="CREDIT SUISSE"/>
        <s v="Serviços Financeiros Diversos"/>
        <s v="Motores, Compressores e Outros"/>
        <s v="Energia Elétrica"/>
        <s v="Seguradoras"/>
        <s v="Bancos"/>
        <s v="Medicamentos e Outros Produtos"/>
        <s v="Cervejas e Refrigerantes"/>
        <s v="Cripto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3:H8" sheet="Carteira RF"/>
  </cacheSource>
  <cacheFields>
    <cacheField name="Código" numFmtId="0">
      <sharedItems>
        <s v="TS2027"/>
        <s v="TR+2055"/>
        <s v="TE+2043"/>
        <s v="TS2028"/>
        <s v="TS2031"/>
      </sharedItems>
    </cacheField>
    <cacheField name="Nome" numFmtId="0">
      <sharedItems>
        <s v="Tesouro Selic 2027"/>
        <s v="Tesouro Renda+ 2055"/>
        <s v="Tesouro Educa+ 2043"/>
        <s v="Tesouro Selic 2028"/>
        <s v="Tesouro Selic 2031"/>
      </sharedItems>
    </cacheField>
    <cacheField name="Tipo de aplicação" numFmtId="0">
      <sharedItems>
        <s v="Tesouro Direto"/>
      </sharedItems>
    </cacheField>
    <cacheField name="Valor Bruto Investido" numFmtId="165">
      <sharedItems containsSemiMixedTypes="0" containsString="0" containsNumber="1">
        <n v="29884.98"/>
        <n v="6449.860000000001"/>
        <n v="3794.2300000000005"/>
        <n v="67343.78"/>
        <n v="50546.38"/>
      </sharedItems>
    </cacheField>
    <cacheField name="Valor Líquido atual" numFmtId="165">
      <sharedItems containsSemiMixedTypes="0" containsString="0" containsNumber="1">
        <n v="38297.07"/>
        <n v="6154.86"/>
        <n v="3786.53"/>
        <n v="75978.29"/>
        <n v="52794.56"/>
      </sharedItems>
    </cacheField>
    <cacheField name="Valorizacão R$" numFmtId="165">
      <sharedItems containsSemiMixedTypes="0" containsString="0" containsNumber="1">
        <n v="8412.09"/>
        <n v="-295.0000000000009"/>
        <n v="-7.700000000000273"/>
        <n v="8634.509999999995"/>
        <n v="2248.1800000000003"/>
      </sharedItems>
    </cacheField>
    <cacheField name="Valorização %" numFmtId="10">
      <sharedItems containsSemiMixedTypes="0" containsString="0" containsNumber="1">
        <n v="0.2814822027654026"/>
        <n v="-0.045737426858877696"/>
        <n v="-0.0020293972690111754"/>
        <n v="0.12821540460009812"/>
        <n v="0.044477566939511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 - RV" cacheId="0" dataCaption="" compact="0" compactData="0">
  <location ref="A1:C23" firstHeaderRow="0" firstDataRow="2" firstDataCol="0"/>
  <pivotFields>
    <pivotField name="Código" axis="axisRow" compact="0" outline="0" multipleItemSelectionAllowed="1" showAll="0" sortType="ascending">
      <items>
        <item x="1"/>
        <item x="18"/>
        <item x="4"/>
        <item x="10"/>
        <item x="17"/>
        <item x="19"/>
        <item x="16"/>
        <item x="20"/>
        <item x="3"/>
        <item x="9"/>
        <item x="8"/>
        <item x="15"/>
        <item x="14"/>
        <item x="7"/>
        <item x="5"/>
        <item x="2"/>
        <item x="0"/>
        <item x="13"/>
        <item x="12"/>
        <item x="6"/>
        <item x="11"/>
        <item t="default"/>
      </items>
    </pivotField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Qtd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reço Méd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alor Investido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alor atu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otação atu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ndimento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sultado R$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ipo de Ativo" compact="0" outline="0" multipleItemSelectionAllowed="1" showAll="0">
      <items>
        <item x="0"/>
        <item x="1"/>
        <item x="2"/>
        <item x="3"/>
        <item t="default"/>
      </items>
    </pivotField>
    <pivotField name="Se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0"/>
  </rowFields>
  <colFields>
    <field x="-2"/>
  </colFields>
  <dataFields>
    <dataField name="SUM of Valor Investido" fld="4" baseField="0"/>
    <dataField name="SUM of Valor atual" fld="5" baseField="0"/>
  </dataFields>
</pivotTableDefinition>
</file>

<file path=xl/pivotTables/pivotTable2.xml><?xml version="1.0" encoding="utf-8"?>
<pivotTableDefinition xmlns="http://schemas.openxmlformats.org/spreadsheetml/2006/main" name="Tabela dinâmica - RV 2" cacheId="0" dataCaption="" rowGrandTotals="0" compact="0" compactData="0">
  <location ref="E1:F22" firstHeaderRow="0" firstDataRow="1" firstDataCol="0"/>
  <pivotFields>
    <pivotField name="Código" axis="axisRow" compact="0" outline="0" multipleItemSelectionAllowed="1" showAll="0" sortType="ascending">
      <items>
        <item x="1"/>
        <item x="18"/>
        <item x="4"/>
        <item x="10"/>
        <item x="17"/>
        <item x="19"/>
        <item x="16"/>
        <item x="20"/>
        <item x="3"/>
        <item x="9"/>
        <item x="8"/>
        <item x="15"/>
        <item x="14"/>
        <item x="7"/>
        <item x="5"/>
        <item x="2"/>
        <item x="0"/>
        <item x="13"/>
        <item x="12"/>
        <item x="6"/>
        <item x="11"/>
        <item t="default"/>
      </items>
    </pivotField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Qtd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reço Méd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alor Investid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alor atu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otação atu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ndimento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sultado R$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ipo de Ativo" compact="0" outline="0" multipleItemSelectionAllowed="1" showAll="0">
      <items>
        <item x="0"/>
        <item x="1"/>
        <item x="2"/>
        <item x="3"/>
        <item t="default"/>
      </items>
    </pivotField>
    <pivotField name="Se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0"/>
  </rowFields>
  <dataFields>
    <dataField name="SUM of Resultado R$" fld="8" baseField="0"/>
  </dataFields>
</pivotTableDefinition>
</file>

<file path=xl/pivotTables/pivotTable3.xml><?xml version="1.0" encoding="utf-8"?>
<pivotTableDefinition xmlns="http://schemas.openxmlformats.org/spreadsheetml/2006/main" name="Tabela dinâmica - RV 3" cacheId="0" dataCaption="" rowGrandTotals="0" compact="0" compactData="0">
  <location ref="H1:J5" firstHeaderRow="0" firstDataRow="2" firstDataCol="0"/>
  <pivotFields>
    <pivotField name="Códi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Qtd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reço Méd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alor Investido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alor atu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otação atu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ndimento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sultado R$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ipo de Ativo" axis="axisRow" compact="0" outline="0" multipleItemSelectionAllowed="1" showAll="0" sortType="ascending">
      <items>
        <item x="2"/>
        <item x="3"/>
        <item x="1"/>
        <item x="0"/>
        <item t="default"/>
      </items>
    </pivotField>
    <pivotField name="Se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9"/>
  </rowFields>
  <colFields>
    <field x="-2"/>
  </colFields>
  <dataFields>
    <dataField name="SUM of Valor atual" fld="5" baseField="0"/>
    <dataField name="SUM of Valor Investido" fld="4" baseField="0"/>
  </dataFields>
</pivotTableDefinition>
</file>

<file path=xl/pivotTables/pivotTable4.xml><?xml version="1.0" encoding="utf-8"?>
<pivotTableDefinition xmlns="http://schemas.openxmlformats.org/spreadsheetml/2006/main" name="Tabela dinâmica - RV 4" cacheId="0" dataCaption="" rowGrandTotals="0" compact="0" compactData="0">
  <location ref="M1:N5" firstHeaderRow="0" firstDataRow="1" firstDataCol="0"/>
  <pivotFields>
    <pivotField name="Códi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Qtd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reço Méd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alor Investid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alor atu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otação atu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ndimento %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sultado R$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ipo de Ativo" axis="axisRow" compact="0" outline="0" multipleItemSelectionAllowed="1" showAll="0" sortType="ascending">
      <items>
        <item x="2"/>
        <item x="3"/>
        <item x="1"/>
        <item x="0"/>
        <item t="default"/>
      </items>
    </pivotField>
    <pivotField name="Se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9"/>
  </rowFields>
  <dataFields>
    <dataField name="SUM of Rendimento %" fld="7" baseField="0"/>
  </dataFields>
</pivotTableDefinition>
</file>

<file path=xl/pivotTables/pivotTable5.xml><?xml version="1.0" encoding="utf-8"?>
<pivotTableDefinition xmlns="http://schemas.openxmlformats.org/spreadsheetml/2006/main" name="Tabela dinâmica - RV 5" cacheId="0" dataCaption="" rowGrandTotals="0" compact="0" compactData="0">
  <location ref="P3:Q15" firstHeaderRow="0" firstDataRow="1" firstDataCol="0" rowPageCount="1" colPageCount="1"/>
  <pivotFields>
    <pivotField name="Códi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Qtd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reço Méd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alor Investid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alor atu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otação atu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ndimento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sultado R$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ipo de Ativo" axis="axisPage" compact="0" outline="0" multipleItemSelectionAllowed="1" showAll="0">
      <items>
        <item x="0"/>
        <item h="1" x="1"/>
        <item x="2"/>
        <item x="3"/>
        <item t="default"/>
      </items>
    </pivotField>
    <pivotField name="Setor" axis="axisRow" compact="0" outline="0" multipleItemSelectionAllowed="1" showAll="0" sortType="ascending">
      <items>
        <item x="11"/>
        <item x="4"/>
        <item x="13"/>
        <item x="6"/>
        <item x="14"/>
        <item x="1"/>
        <item x="9"/>
        <item x="0"/>
        <item x="2"/>
        <item x="5"/>
        <item x="12"/>
        <item x="8"/>
        <item x="3"/>
        <item x="10"/>
        <item x="7"/>
        <item t="default"/>
      </items>
    </pivotField>
  </pivotFields>
  <rowFields>
    <field x="10"/>
  </rowFields>
  <pageFields>
    <pageField fld="9"/>
  </pageFields>
  <dataFields>
    <dataField name="SUM of Valor atual" fld="5" baseField="0"/>
  </dataFields>
</pivotTableDefinition>
</file>

<file path=xl/pivotTables/pivotTable6.xml><?xml version="1.0" encoding="utf-8"?>
<pivotTableDefinition xmlns="http://schemas.openxmlformats.org/spreadsheetml/2006/main" name="Tabela dinâmica - RV 6" cacheId="0" dataCaption="" rowGrandTotals="0" compact="0" compactData="0">
  <location ref="S3:T6" firstHeaderRow="0" firstDataRow="1" firstDataCol="0" rowPageCount="1" colPageCount="1"/>
  <pivotFields>
    <pivotField name="Códi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Qtd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reço Méd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alor Investid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alor atu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otação atu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ndimento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sultado R$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ipo de Ativo" axis="axisPage" compact="0" outline="0" multipleItemSelectionAllowed="1" showAll="0">
      <items>
        <item h="1" x="0"/>
        <item x="1"/>
        <item h="1" x="2"/>
        <item h="1" x="3"/>
        <item t="default"/>
      </items>
    </pivotField>
    <pivotField name="Setor" axis="axisRow" compact="0" outline="0" multipleItemSelectionAllowed="1" showAll="0" sortType="ascending">
      <items>
        <item x="11"/>
        <item x="4"/>
        <item x="13"/>
        <item x="6"/>
        <item x="14"/>
        <item x="1"/>
        <item x="9"/>
        <item x="0"/>
        <item x="2"/>
        <item x="5"/>
        <item x="12"/>
        <item x="8"/>
        <item x="3"/>
        <item x="10"/>
        <item x="7"/>
        <item t="default"/>
      </items>
    </pivotField>
  </pivotFields>
  <rowFields>
    <field x="10"/>
  </rowFields>
  <pageFields>
    <pageField fld="9"/>
  </pageFields>
  <dataFields>
    <dataField name="SUM of Valor atual" fld="5" baseField="0"/>
  </dataFields>
</pivotTableDefinition>
</file>

<file path=xl/pivotTables/pivotTable7.xml><?xml version="1.0" encoding="utf-8"?>
<pivotTableDefinition xmlns="http://schemas.openxmlformats.org/spreadsheetml/2006/main" name="Tabela dinâmica - RF" cacheId="1" dataCaption="" rowGrandTotals="0" compact="0" compactData="0">
  <location ref="A1:C6" firstHeaderRow="0" firstDataRow="2" firstDataCol="0"/>
  <pivotFields>
    <pivotField name="Código" axis="axisRow" compact="0" outline="0" multipleItemSelectionAllowed="1" showAll="0" sortType="ascending">
      <items>
        <item x="2"/>
        <item x="1"/>
        <item x="0"/>
        <item x="3"/>
        <item x="4"/>
        <item t="default"/>
      </items>
    </pivotField>
    <pivotField name="No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po de aplicação" compact="0" outline="0" multipleItemSelectionAllowed="1" showAll="0">
      <items>
        <item x="0"/>
        <item t="default"/>
      </items>
    </pivotField>
    <pivotField name="Valor Bruto Investido" dataField="1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Valor Líquido atual" dataField="1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Valorizacão R$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Valorização %" compact="0" numFmtId="1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colFields>
    <field x="-2"/>
  </colFields>
  <dataFields>
    <dataField name="SUM of Valor Bruto Investido" fld="3" baseField="0"/>
    <dataField name="SUM of Valor Líquido atual" fld="4" baseField="0"/>
  </dataFields>
</pivotTableDefinition>
</file>

<file path=xl/pivotTables/pivotTable8.xml><?xml version="1.0" encoding="utf-8"?>
<pivotTableDefinition xmlns="http://schemas.openxmlformats.org/spreadsheetml/2006/main" name="Tabela dinâmica - RF 2" cacheId="1" dataCaption="" rowGrandTotals="0" compact="0" compactData="0">
  <location ref="E1:F6" firstHeaderRow="0" firstDataRow="1" firstDataCol="0"/>
  <pivotFields>
    <pivotField name="Código" axis="axisRow" compact="0" outline="0" multipleItemSelectionAllowed="1" showAll="0" sortType="ascending">
      <items>
        <item x="2"/>
        <item x="1"/>
        <item x="0"/>
        <item x="3"/>
        <item x="4"/>
        <item t="default"/>
      </items>
    </pivotField>
    <pivotField name="No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po de aplicação" compact="0" outline="0" multipleItemSelectionAllowed="1" showAll="0">
      <items>
        <item x="0"/>
        <item t="default"/>
      </items>
    </pivotField>
    <pivotField name="Valor Bruto Investido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Valor Líquido atual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Valorizacão R$" dataField="1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Valorização %" compact="0" numFmtId="1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SUM of Valorizacão R$" fld="5" baseField="0"/>
  </dataFields>
</pivotTableDefinition>
</file>

<file path=xl/pivotTables/pivotTable9.xml><?xml version="1.0" encoding="utf-8"?>
<pivotTableDefinition xmlns="http://schemas.openxmlformats.org/spreadsheetml/2006/main" name="Tabela dinâmica - RF 3" cacheId="1" dataCaption="" rowGrandTotals="0" compact="0" compactData="0">
  <location ref="H1:J2" firstHeaderRow="0" firstDataRow="2" firstDataCol="0"/>
  <pivotFields>
    <pivotField name="Códi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po de aplicação" axis="axisRow" compact="0" outline="0" multipleItemSelectionAllowed="1" showAll="0" sortType="ascending">
      <items>
        <item x="0"/>
        <item t="default"/>
      </items>
    </pivotField>
    <pivotField name="Valor Bruto Investido" dataField="1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Valor Líquido atual" dataField="1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Valorizacão R$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Valorização %" compact="0" numFmtId="1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colFields>
    <field x="-2"/>
  </colFields>
  <dataFields>
    <dataField name="SUM of Valor Líquido atual" fld="4" baseField="0"/>
    <dataField name="SUM of Valor Bruto Investido" fld="3" baseField="0"/>
  </dataFields>
</pivotTableDefinition>
</file>

<file path=xl/pivotTables/pivotTable10.xml><?xml version="1.0" encoding="utf-8"?>
<pivotTableDefinition xmlns="http://schemas.openxmlformats.org/spreadsheetml/2006/main" name="Tabela dinâmica - RF 4" cacheId="1" dataCaption="" compact="0" compactData="0">
  <location ref="M1:N3" firstHeaderRow="0" firstDataRow="1" firstDataCol="0"/>
  <pivotFields>
    <pivotField name="Códi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po de aplicação" axis="axisRow" compact="0" outline="0" multipleItemSelectionAllowed="1" showAll="0" sortType="ascending">
      <items>
        <item x="0"/>
        <item t="default"/>
      </items>
    </pivotField>
    <pivotField name="Valor Bruto Investido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Valor Líquido atual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Valorizacão R$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Valorização %" dataField="1" compact="0" numFmtId="1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dataFields>
    <dataField name="SUM of Valorização %" fld="6" baseField="0"/>
  </dataFields>
</pivotTableDefinition>
</file>

<file path=xl/tables/table1.xml><?xml version="1.0" encoding="utf-8"?>
<table xmlns="http://schemas.openxmlformats.org/spreadsheetml/2006/main" headerRowCount="0" ref="B4:G21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tivoChove-style" showColumnStripes="0" showFirstColumn="1" showLastColumn="1" showRowStripes="1"/>
</table>
</file>

<file path=xl/tables/table2.xml><?xml version="1.0" encoding="utf-8"?>
<table xmlns="http://schemas.openxmlformats.org/spreadsheetml/2006/main" headerRowCount="0" ref="B4:G21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APL-style" showColumnStripes="0" showFirstColumn="1" showLastColumn="1" showRowStripes="1"/>
</table>
</file>

<file path=xl/tables/table3.xml><?xml version="1.0" encoding="utf-8"?>
<table xmlns="http://schemas.openxmlformats.org/spreadsheetml/2006/main" headerRowCount="0" ref="B4:G21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FLX-style" showColumnStripes="0" showFirstColumn="1" showLastColumn="1" showRowStripes="1"/>
</table>
</file>

<file path=xl/tables/table4.xml><?xml version="1.0" encoding="utf-8"?>
<table xmlns="http://schemas.openxmlformats.org/spreadsheetml/2006/main" headerRowCount="0" ref="B4:G21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ETA-style" showColumnStripes="0" showFirstColumn="1" showLastColumn="1" showRowStripes="1"/>
</table>
</file>

<file path=xl/tables/table5.xml><?xml version="1.0" encoding="utf-8"?>
<table xmlns="http://schemas.openxmlformats.org/spreadsheetml/2006/main" headerRowCount="0" ref="B4:G21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AST-style" showColumnStripes="0" showFirstColumn="1" showLastColumn="1" showRowStripes="1"/>
</table>
</file>

<file path=xl/tables/table6.xml><?xml version="1.0" encoding="utf-8"?>
<table xmlns="http://schemas.openxmlformats.org/spreadsheetml/2006/main" headerRowCount="0" ref="B4:G21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KO-style" showColumnStripes="0" showFirstColumn="1" showLastColumn="1" showRowStripes="1"/>
</table>
</file>

<file path=xl/tables/table7.xml><?xml version="1.0" encoding="utf-8"?>
<table xmlns="http://schemas.openxmlformats.org/spreadsheetml/2006/main" headerRowCount="0" ref="B4:G21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PH-style" showColumnStripes="0" showFirstColumn="1" showLastColumn="1" showRowStripes="1"/>
</table>
</file>

<file path=xl/tables/table8.xml><?xml version="1.0" encoding="utf-8"?>
<table xmlns="http://schemas.openxmlformats.org/spreadsheetml/2006/main" headerRowCount="0" ref="B4:G28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GIE3-style" showColumnStripes="0" showFirstColumn="1" showLastColumn="1" showRowStripes="1"/>
</table>
</file>

<file path=xl/tables/table9.xml><?xml version="1.0" encoding="utf-8"?>
<table xmlns="http://schemas.openxmlformats.org/spreadsheetml/2006/main" headerRowCount="0" ref="B4:G25" displayName="Table_9" name="Table_9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KNRI11-style" showColumnStripes="0" showFirstColumn="1" showLastColumn="1" showRowStripes="1"/>
</table>
</file>

<file path=xl/tables/table10.xml><?xml version="1.0" encoding="utf-8"?>
<table xmlns="http://schemas.openxmlformats.org/spreadsheetml/2006/main" headerRowCount="0" ref="B4:G26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GRU11-style" showColumnStripes="0" showFirstColumn="1" showLastColumn="1" showRowStripes="1"/>
</table>
</file>

<file path=xl/tables/table11.xml><?xml version="1.0" encoding="utf-8"?>
<table xmlns="http://schemas.openxmlformats.org/spreadsheetml/2006/main" headerRowCount="0" ref="B4:G26" displayName="Table_11" name="Table_11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GLG11-style" showColumnStripes="0" showFirstColumn="1" showLastColumn="1" showRowStripes="1"/>
</table>
</file>

<file path=xl/tables/table12.xml><?xml version="1.0" encoding="utf-8"?>
<table xmlns="http://schemas.openxmlformats.org/spreadsheetml/2006/main" headerRowCount="0" ref="B4:G27" displayName="Table_12" name="Table_12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ISC11-style" showColumnStripes="0" showFirstColumn="1" showLastColumn="1" showRowStripes="1"/>
</table>
</file>

<file path=xl/tables/table13.xml><?xml version="1.0" encoding="utf-8"?>
<table xmlns="http://schemas.openxmlformats.org/spreadsheetml/2006/main" headerRowCount="0" ref="B4:G25" displayName="Table_13" name="Table_13" id="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TUB3-style" showColumnStripes="0" showFirstColumn="1" showLastColumn="1" showRowStripes="1"/>
</table>
</file>

<file path=xl/tables/table14.xml><?xml version="1.0" encoding="utf-8"?>
<table xmlns="http://schemas.openxmlformats.org/spreadsheetml/2006/main" headerRowCount="0" ref="B4:G29" displayName="Table_14" name="Table_14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WEGE3-style" showColumnStripes="0" showFirstColumn="1" showLastColumn="1" showRowStripes="1"/>
</table>
</file>

<file path=xl/tables/table15.xml><?xml version="1.0" encoding="utf-8"?>
<table xmlns="http://schemas.openxmlformats.org/spreadsheetml/2006/main" headerRowCount="0" ref="B4:G30" displayName="Table_15" name="Table_15" id="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AEE3-style" showColumnStripes="0" showFirstColumn="1" showLastColumn="1" showRowStripes="1"/>
</table>
</file>

<file path=xl/tables/table16.xml><?xml version="1.0" encoding="utf-8"?>
<table xmlns="http://schemas.openxmlformats.org/spreadsheetml/2006/main" headerRowCount="0" ref="B4:G28" displayName="Table_16" name="Table_16" id="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SSA3-style" showColumnStripes="0" showFirstColumn="1" showLastColumn="1" showRowStripes="1"/>
</table>
</file>

<file path=xl/tables/table17.xml><?xml version="1.0" encoding="utf-8"?>
<table xmlns="http://schemas.openxmlformats.org/spreadsheetml/2006/main" headerRowCount="0" ref="B4:G29" displayName="Table_19" name="Table_19" id="1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YPE3-style" showColumnStripes="0" showFirstColumn="1" showLastColumn="1" showRowStripes="1"/>
</table>
</file>

<file path=xl/tables/table18.xml><?xml version="1.0" encoding="utf-8"?>
<table xmlns="http://schemas.openxmlformats.org/spreadsheetml/2006/main" headerRowCount="0" ref="B4:G29" displayName="Table_17" name="Table_17" id="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3SA3-style" showColumnStripes="0" showFirstColumn="1" showLastColumn="1" showRowStripes="1"/>
</table>
</file>

<file path=xl/tables/table19.xml><?xml version="1.0" encoding="utf-8"?>
<table xmlns="http://schemas.openxmlformats.org/spreadsheetml/2006/main" headerRowCount="0" ref="B4:G29" displayName="Table_18" name="Table_18" id="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BDC3-style" showColumnStripes="0" showFirstColumn="1" showLastColumn="1" showRowStripes="1"/>
</table>
</file>

<file path=xl/tables/table20.xml><?xml version="1.0" encoding="utf-8"?>
<table xmlns="http://schemas.openxmlformats.org/spreadsheetml/2006/main" headerRowCount="0" ref="B4:G30" displayName="Table_20" name="Table_20" id="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BEV3-style" showColumnStripes="0" showFirstColumn="1" showLastColumn="1" showRowStripes="1"/>
</table>
</file>

<file path=xl/tables/table21.xml><?xml version="1.0" encoding="utf-8"?>
<table xmlns="http://schemas.openxmlformats.org/spreadsheetml/2006/main" headerRowCount="0" ref="B4:G21" displayName="Table_21" name="Table_21" id="2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TC-style" showColumnStripes="0" showFirstColumn="1" showLastColumn="1" showRowStripes="1"/>
</table>
</file>

<file path=xl/tables/table22.xml><?xml version="1.0" encoding="utf-8"?>
<table xmlns="http://schemas.openxmlformats.org/spreadsheetml/2006/main" headerRowCount="0" ref="B4:G21" displayName="Table_22" name="Table_22" id="2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TH-style" showColumnStripes="0" showFirstColumn="1" showLastColumn="1" showRowStripes="1"/>
</table>
</file>

<file path=xl/tables/table23.xml><?xml version="1.0" encoding="utf-8"?>
<table xmlns="http://schemas.openxmlformats.org/spreadsheetml/2006/main" headerRowCount="0" ref="B4:G21" displayName="Table_23" name="Table_23" id="2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AXGOL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8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9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0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1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2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3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4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5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6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17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18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19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0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1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2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3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pivotTable" Target="../pivotTables/pivotTable8.xml"/><Relationship Id="rId3" Type="http://schemas.openxmlformats.org/officeDocument/2006/relationships/pivotTable" Target="../pivotTables/pivotTable9.xml"/><Relationship Id="rId4" Type="http://schemas.openxmlformats.org/officeDocument/2006/relationships/pivotTable" Target="../pivotTables/pivotTable10.xml"/><Relationship Id="rId5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25"/>
    <col customWidth="1" min="2" max="2" width="35.13"/>
    <col customWidth="1" min="3" max="3" width="17.5"/>
    <col customWidth="1" min="4" max="4" width="18.38"/>
    <col customWidth="1" min="5" max="5" width="16.25"/>
    <col customWidth="1" min="6" max="6" width="3.25"/>
    <col customWidth="1" min="7" max="7" width="20.25"/>
    <col customWidth="1" min="8" max="8" width="13.88"/>
    <col customWidth="1" min="9" max="9" width="15.75"/>
    <col customWidth="1" min="10" max="10" width="18.38"/>
    <col customWidth="1" min="11" max="11" width="19.25"/>
    <col customWidth="1" min="12" max="12" width="2.25"/>
    <col customWidth="1" min="16" max="16" width="4.5"/>
    <col customWidth="1" min="17" max="17" width="5.25"/>
  </cols>
  <sheetData>
    <row r="1" ht="9.75" customHeight="1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ht="37.5" customHeight="1">
      <c r="A2" s="57"/>
      <c r="B2" s="59" t="s">
        <v>56</v>
      </c>
      <c r="C2" s="60"/>
      <c r="D2" s="60"/>
      <c r="E2" s="60"/>
      <c r="F2" s="60"/>
      <c r="G2" s="60"/>
      <c r="H2" s="60"/>
      <c r="I2" s="60"/>
      <c r="J2" s="60"/>
      <c r="K2" s="61"/>
      <c r="L2" s="57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23.25" customHeight="1">
      <c r="A3" s="57"/>
      <c r="B3" s="62" t="s">
        <v>57</v>
      </c>
      <c r="C3" s="63"/>
      <c r="D3" s="63"/>
      <c r="E3" s="63"/>
      <c r="F3" s="63"/>
      <c r="G3" s="63"/>
      <c r="H3" s="63"/>
      <c r="I3" s="63"/>
      <c r="J3" s="63"/>
      <c r="K3" s="64"/>
      <c r="L3" s="57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ht="26.25" customHeight="1">
      <c r="A4" s="57"/>
      <c r="B4" s="65" t="s">
        <v>58</v>
      </c>
      <c r="C4" s="66">
        <f>'Carteira RV'!F26</f>
        <v>102492.3641</v>
      </c>
      <c r="D4" s="67" t="s">
        <v>59</v>
      </c>
      <c r="E4" s="68">
        <f>'Carteira RV'!G26</f>
        <v>125423.5718</v>
      </c>
      <c r="F4" s="69"/>
      <c r="G4" s="70" t="s">
        <v>60</v>
      </c>
      <c r="H4" s="66">
        <f>'Carteira RV'!J26</f>
        <v>20963.14829</v>
      </c>
      <c r="I4" s="71" t="s">
        <v>61</v>
      </c>
      <c r="J4" s="72"/>
      <c r="K4" s="73">
        <f>SUM(Vendas!J4:J219)</f>
        <v>-1484.064864</v>
      </c>
      <c r="L4" s="57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>
      <c r="A5" s="57"/>
      <c r="B5" s="74"/>
      <c r="C5" s="57"/>
      <c r="D5" s="57"/>
      <c r="E5" s="57"/>
      <c r="F5" s="57"/>
      <c r="G5" s="57"/>
      <c r="H5" s="57"/>
      <c r="I5" s="57"/>
      <c r="J5" s="57"/>
      <c r="K5" s="75"/>
      <c r="L5" s="57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>
      <c r="A6" s="57"/>
      <c r="B6" s="76"/>
      <c r="F6" s="57"/>
      <c r="K6" s="77"/>
      <c r="L6" s="57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>
      <c r="A7" s="57"/>
      <c r="B7" s="76"/>
      <c r="F7" s="57"/>
      <c r="K7" s="77"/>
      <c r="L7" s="57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>
      <c r="A8" s="57"/>
      <c r="B8" s="76"/>
      <c r="F8" s="57"/>
      <c r="K8" s="77"/>
      <c r="L8" s="57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57"/>
      <c r="B9" s="76"/>
      <c r="F9" s="57"/>
      <c r="K9" s="77"/>
      <c r="L9" s="57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>
      <c r="A10" s="57"/>
      <c r="B10" s="76"/>
      <c r="F10" s="57"/>
      <c r="K10" s="77"/>
      <c r="L10" s="57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57"/>
      <c r="B11" s="76"/>
      <c r="F11" s="57"/>
      <c r="K11" s="77"/>
      <c r="L11" s="57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>
      <c r="A12" s="57"/>
      <c r="B12" s="76"/>
      <c r="F12" s="57"/>
      <c r="K12" s="77"/>
      <c r="L12" s="57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57"/>
      <c r="B13" s="76"/>
      <c r="F13" s="57"/>
      <c r="K13" s="77"/>
      <c r="L13" s="57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>
      <c r="A14" s="57"/>
      <c r="B14" s="76"/>
      <c r="F14" s="57"/>
      <c r="K14" s="77"/>
      <c r="L14" s="57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57"/>
      <c r="B15" s="76"/>
      <c r="F15" s="57"/>
      <c r="K15" s="77"/>
      <c r="L15" s="57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>
      <c r="A16" s="57"/>
      <c r="B16" s="76"/>
      <c r="F16" s="57"/>
      <c r="K16" s="77"/>
      <c r="L16" s="57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>
      <c r="A17" s="57"/>
      <c r="B17" s="76"/>
      <c r="F17" s="57"/>
      <c r="K17" s="77"/>
      <c r="L17" s="57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>
      <c r="A18" s="57"/>
      <c r="B18" s="76"/>
      <c r="F18" s="57"/>
      <c r="K18" s="77"/>
      <c r="L18" s="57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>
      <c r="A19" s="57"/>
      <c r="B19" s="76"/>
      <c r="F19" s="57"/>
      <c r="K19" s="77"/>
      <c r="L19" s="57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>
      <c r="A20" s="57"/>
      <c r="B20" s="76"/>
      <c r="F20" s="57"/>
      <c r="K20" s="77"/>
      <c r="L20" s="57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>
      <c r="A21" s="57"/>
      <c r="B21" s="76"/>
      <c r="F21" s="57"/>
      <c r="K21" s="77"/>
      <c r="L21" s="57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>
      <c r="A22" s="57"/>
      <c r="B22" s="76"/>
      <c r="F22" s="57"/>
      <c r="K22" s="77"/>
      <c r="L22" s="57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>
      <c r="A23" s="57"/>
      <c r="B23" s="76"/>
      <c r="F23" s="57"/>
      <c r="K23" s="77"/>
      <c r="L23" s="57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>
      <c r="A24" s="57"/>
      <c r="B24" s="76"/>
      <c r="F24" s="57"/>
      <c r="K24" s="77"/>
      <c r="L24" s="57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>
      <c r="A25" s="57"/>
      <c r="B25" s="76"/>
      <c r="F25" s="57"/>
      <c r="K25" s="77"/>
      <c r="L25" s="57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>
      <c r="A26" s="57"/>
      <c r="B26" s="76"/>
      <c r="F26" s="57"/>
      <c r="K26" s="77"/>
      <c r="L26" s="57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>
      <c r="A27" s="57"/>
      <c r="B27" s="76"/>
      <c r="F27" s="57"/>
      <c r="K27" s="77"/>
      <c r="L27" s="57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>
      <c r="A28" s="57"/>
      <c r="B28" s="76"/>
      <c r="F28" s="57"/>
      <c r="K28" s="77"/>
      <c r="L28" s="57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>
      <c r="A29" s="57"/>
      <c r="B29" s="76"/>
      <c r="F29" s="57"/>
      <c r="K29" s="77"/>
      <c r="L29" s="57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>
      <c r="A30" s="57"/>
      <c r="B30" s="76"/>
      <c r="F30" s="57"/>
      <c r="K30" s="77"/>
      <c r="L30" s="57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>
      <c r="A31" s="57"/>
      <c r="B31" s="74"/>
      <c r="C31" s="57"/>
      <c r="D31" s="57"/>
      <c r="E31" s="57"/>
      <c r="F31" s="57"/>
      <c r="G31" s="57"/>
      <c r="H31" s="57"/>
      <c r="I31" s="57"/>
      <c r="J31" s="57"/>
      <c r="K31" s="75"/>
      <c r="L31" s="57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>
      <c r="A32" s="57"/>
      <c r="B32" s="74"/>
      <c r="C32" s="57"/>
      <c r="D32" s="57"/>
      <c r="E32" s="57"/>
      <c r="F32" s="57"/>
      <c r="G32" s="57"/>
      <c r="H32" s="57"/>
      <c r="I32" s="57"/>
      <c r="J32" s="57"/>
      <c r="K32" s="75"/>
      <c r="L32" s="57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>
      <c r="A33" s="57"/>
      <c r="B33" s="74"/>
      <c r="C33" s="57"/>
      <c r="D33" s="57"/>
      <c r="E33" s="57"/>
      <c r="F33" s="57"/>
      <c r="G33" s="57"/>
      <c r="H33" s="57"/>
      <c r="I33" s="57"/>
      <c r="J33" s="57"/>
      <c r="K33" s="75"/>
      <c r="L33" s="57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>
      <c r="A34" s="57"/>
      <c r="B34" s="74"/>
      <c r="C34" s="57"/>
      <c r="D34" s="57"/>
      <c r="E34" s="57"/>
      <c r="F34" s="57"/>
      <c r="G34" s="57"/>
      <c r="H34" s="57"/>
      <c r="I34" s="57"/>
      <c r="J34" s="57"/>
      <c r="K34" s="75"/>
      <c r="L34" s="57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>
      <c r="A35" s="57"/>
      <c r="B35" s="74"/>
      <c r="C35" s="57"/>
      <c r="D35" s="57"/>
      <c r="E35" s="57"/>
      <c r="F35" s="57"/>
      <c r="G35" s="57"/>
      <c r="H35" s="57"/>
      <c r="I35" s="57"/>
      <c r="J35" s="57"/>
      <c r="K35" s="75"/>
      <c r="L35" s="57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>
      <c r="A36" s="57"/>
      <c r="B36" s="74"/>
      <c r="C36" s="57"/>
      <c r="D36" s="57"/>
      <c r="E36" s="57"/>
      <c r="F36" s="57"/>
      <c r="G36" s="57"/>
      <c r="H36" s="57"/>
      <c r="I36" s="57"/>
      <c r="J36" s="57"/>
      <c r="K36" s="75"/>
      <c r="L36" s="57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>
      <c r="A37" s="57"/>
      <c r="B37" s="74"/>
      <c r="C37" s="57"/>
      <c r="D37" s="57"/>
      <c r="E37" s="57"/>
      <c r="F37" s="57"/>
      <c r="G37" s="57"/>
      <c r="H37" s="57"/>
      <c r="I37" s="57"/>
      <c r="J37" s="57"/>
      <c r="K37" s="75"/>
      <c r="L37" s="57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>
      <c r="A38" s="57"/>
      <c r="B38" s="74"/>
      <c r="C38" s="57"/>
      <c r="D38" s="57"/>
      <c r="E38" s="57"/>
      <c r="F38" s="57"/>
      <c r="G38" s="57"/>
      <c r="H38" s="57"/>
      <c r="I38" s="57"/>
      <c r="J38" s="57"/>
      <c r="K38" s="75"/>
      <c r="L38" s="57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>
      <c r="A39" s="57"/>
      <c r="B39" s="74"/>
      <c r="C39" s="57"/>
      <c r="D39" s="57"/>
      <c r="E39" s="57"/>
      <c r="F39" s="57"/>
      <c r="G39" s="57"/>
      <c r="H39" s="57"/>
      <c r="I39" s="57"/>
      <c r="J39" s="57"/>
      <c r="K39" s="75"/>
      <c r="L39" s="57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>
      <c r="A40" s="57"/>
      <c r="B40" s="74"/>
      <c r="C40" s="57"/>
      <c r="D40" s="57"/>
      <c r="E40" s="57"/>
      <c r="F40" s="57"/>
      <c r="G40" s="57"/>
      <c r="H40" s="57"/>
      <c r="I40" s="57"/>
      <c r="J40" s="57"/>
      <c r="K40" s="75"/>
      <c r="L40" s="57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>
      <c r="A41" s="57"/>
      <c r="B41" s="74"/>
      <c r="C41" s="57"/>
      <c r="D41" s="57"/>
      <c r="E41" s="57"/>
      <c r="F41" s="57"/>
      <c r="G41" s="57"/>
      <c r="H41" s="57"/>
      <c r="I41" s="57"/>
      <c r="J41" s="57"/>
      <c r="K41" s="75"/>
      <c r="L41" s="57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>
      <c r="A42" s="57"/>
      <c r="B42" s="74"/>
      <c r="C42" s="57"/>
      <c r="D42" s="57"/>
      <c r="E42" s="57"/>
      <c r="F42" s="57"/>
      <c r="G42" s="57"/>
      <c r="H42" s="57"/>
      <c r="I42" s="57"/>
      <c r="J42" s="57"/>
      <c r="K42" s="75"/>
      <c r="L42" s="57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>
      <c r="A43" s="57"/>
      <c r="B43" s="74"/>
      <c r="C43" s="57"/>
      <c r="D43" s="57"/>
      <c r="E43" s="57"/>
      <c r="F43" s="57"/>
      <c r="G43" s="57"/>
      <c r="H43" s="57"/>
      <c r="I43" s="57"/>
      <c r="J43" s="57"/>
      <c r="K43" s="75"/>
      <c r="L43" s="57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>
      <c r="A44" s="57"/>
      <c r="B44" s="74"/>
      <c r="C44" s="57"/>
      <c r="D44" s="57"/>
      <c r="E44" s="57"/>
      <c r="F44" s="57"/>
      <c r="G44" s="57"/>
      <c r="H44" s="57"/>
      <c r="I44" s="57"/>
      <c r="J44" s="57"/>
      <c r="K44" s="75"/>
      <c r="L44" s="57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>
      <c r="A45" s="57"/>
      <c r="B45" s="74"/>
      <c r="C45" s="57"/>
      <c r="D45" s="57"/>
      <c r="E45" s="57"/>
      <c r="F45" s="57"/>
      <c r="G45" s="57"/>
      <c r="H45" s="57"/>
      <c r="I45" s="57"/>
      <c r="J45" s="57"/>
      <c r="K45" s="75"/>
      <c r="L45" s="57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>
      <c r="A46" s="57"/>
      <c r="B46" s="74"/>
      <c r="C46" s="57"/>
      <c r="D46" s="57"/>
      <c r="E46" s="57"/>
      <c r="F46" s="57"/>
      <c r="G46" s="57"/>
      <c r="H46" s="57"/>
      <c r="I46" s="57"/>
      <c r="J46" s="57"/>
      <c r="K46" s="75"/>
      <c r="L46" s="57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>
      <c r="A47" s="57"/>
      <c r="B47" s="74"/>
      <c r="C47" s="57"/>
      <c r="D47" s="57"/>
      <c r="E47" s="57"/>
      <c r="F47" s="57"/>
      <c r="G47" s="57"/>
      <c r="H47" s="57"/>
      <c r="I47" s="57"/>
      <c r="J47" s="57"/>
      <c r="K47" s="75"/>
      <c r="L47" s="57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>
      <c r="A48" s="57"/>
      <c r="B48" s="74"/>
      <c r="C48" s="57"/>
      <c r="D48" s="57"/>
      <c r="E48" s="57"/>
      <c r="F48" s="57"/>
      <c r="G48" s="57"/>
      <c r="H48" s="57"/>
      <c r="I48" s="57"/>
      <c r="J48" s="57"/>
      <c r="K48" s="75"/>
      <c r="L48" s="57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>
      <c r="A49" s="57"/>
      <c r="B49" s="74"/>
      <c r="C49" s="57"/>
      <c r="D49" s="57"/>
      <c r="E49" s="57"/>
      <c r="F49" s="57"/>
      <c r="G49" s="57"/>
      <c r="H49" s="57"/>
      <c r="I49" s="57"/>
      <c r="J49" s="57"/>
      <c r="K49" s="75"/>
      <c r="L49" s="57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>
      <c r="A50" s="57"/>
      <c r="B50" s="74"/>
      <c r="C50" s="57"/>
      <c r="D50" s="57"/>
      <c r="E50" s="57"/>
      <c r="F50" s="57"/>
      <c r="G50" s="57"/>
      <c r="H50" s="57"/>
      <c r="I50" s="57"/>
      <c r="J50" s="57"/>
      <c r="K50" s="75"/>
      <c r="L50" s="57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>
      <c r="A51" s="57"/>
      <c r="B51" s="74"/>
      <c r="C51" s="57"/>
      <c r="D51" s="57"/>
      <c r="E51" s="57"/>
      <c r="F51" s="57"/>
      <c r="G51" s="57"/>
      <c r="H51" s="57"/>
      <c r="I51" s="57"/>
      <c r="J51" s="57"/>
      <c r="K51" s="75"/>
      <c r="L51" s="57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>
      <c r="A52" s="57"/>
      <c r="B52" s="74"/>
      <c r="C52" s="57"/>
      <c r="D52" s="57"/>
      <c r="E52" s="57"/>
      <c r="F52" s="57"/>
      <c r="G52" s="57"/>
      <c r="H52" s="57"/>
      <c r="I52" s="57"/>
      <c r="J52" s="57"/>
      <c r="K52" s="75"/>
      <c r="L52" s="57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>
      <c r="A53" s="57"/>
      <c r="B53" s="74"/>
      <c r="C53" s="57"/>
      <c r="D53" s="57"/>
      <c r="E53" s="57"/>
      <c r="F53" s="57"/>
      <c r="G53" s="57"/>
      <c r="H53" s="57"/>
      <c r="I53" s="57"/>
      <c r="J53" s="57"/>
      <c r="K53" s="75"/>
      <c r="L53" s="57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>
      <c r="A54" s="57"/>
      <c r="B54" s="74"/>
      <c r="C54" s="57"/>
      <c r="D54" s="57"/>
      <c r="E54" s="57"/>
      <c r="F54" s="57"/>
      <c r="G54" s="57"/>
      <c r="H54" s="57"/>
      <c r="I54" s="57"/>
      <c r="J54" s="57"/>
      <c r="K54" s="75"/>
      <c r="L54" s="57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>
      <c r="A55" s="57"/>
      <c r="B55" s="74"/>
      <c r="C55" s="57"/>
      <c r="D55" s="57"/>
      <c r="E55" s="57"/>
      <c r="F55" s="57"/>
      <c r="G55" s="57"/>
      <c r="H55" s="57"/>
      <c r="I55" s="57"/>
      <c r="J55" s="57"/>
      <c r="K55" s="75"/>
      <c r="L55" s="57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>
      <c r="A56" s="57"/>
      <c r="B56" s="74"/>
      <c r="C56" s="57"/>
      <c r="D56" s="57"/>
      <c r="E56" s="57"/>
      <c r="F56" s="57"/>
      <c r="G56" s="57"/>
      <c r="H56" s="57"/>
      <c r="I56" s="57"/>
      <c r="J56" s="57"/>
      <c r="K56" s="75"/>
      <c r="L56" s="57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>
      <c r="A57" s="57"/>
      <c r="B57" s="74"/>
      <c r="C57" s="57"/>
      <c r="D57" s="57"/>
      <c r="E57" s="57"/>
      <c r="F57" s="57"/>
      <c r="G57" s="57"/>
      <c r="H57" s="57"/>
      <c r="I57" s="57"/>
      <c r="J57" s="57"/>
      <c r="K57" s="75"/>
      <c r="L57" s="57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31.5" customHeight="1">
      <c r="A58" s="57"/>
      <c r="B58" s="62" t="s">
        <v>62</v>
      </c>
      <c r="C58" s="63"/>
      <c r="D58" s="63"/>
      <c r="E58" s="63"/>
      <c r="F58" s="63"/>
      <c r="G58" s="63"/>
      <c r="H58" s="63"/>
      <c r="I58" s="63"/>
      <c r="J58" s="63"/>
      <c r="K58" s="64"/>
      <c r="L58" s="57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22.5" customHeight="1">
      <c r="A59" s="57"/>
      <c r="B59" s="78" t="s">
        <v>58</v>
      </c>
      <c r="C59" s="72"/>
      <c r="D59" s="79">
        <f>'Carteira RF'!E9</f>
        <v>158019.23</v>
      </c>
      <c r="E59" s="72"/>
      <c r="F59" s="80"/>
      <c r="G59" s="81" t="s">
        <v>59</v>
      </c>
      <c r="H59" s="82"/>
      <c r="I59" s="72"/>
      <c r="J59" s="79">
        <f>'Carteira RF'!F9</f>
        <v>177011.31</v>
      </c>
      <c r="K59" s="83"/>
      <c r="L59" s="57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>
      <c r="A60" s="57"/>
      <c r="B60" s="74"/>
      <c r="C60" s="57"/>
      <c r="D60" s="57"/>
      <c r="E60" s="57"/>
      <c r="F60" s="57"/>
      <c r="G60" s="57"/>
      <c r="H60" s="57"/>
      <c r="I60" s="57"/>
      <c r="J60" s="57"/>
      <c r="K60" s="75"/>
      <c r="L60" s="57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>
      <c r="A61" s="57"/>
      <c r="B61" s="74"/>
      <c r="C61" s="57"/>
      <c r="D61" s="57"/>
      <c r="E61" s="57"/>
      <c r="F61" s="57"/>
      <c r="G61" s="57"/>
      <c r="H61" s="57"/>
      <c r="I61" s="57"/>
      <c r="J61" s="57"/>
      <c r="K61" s="75"/>
      <c r="L61" s="57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>
      <c r="A62" s="57"/>
      <c r="B62" s="74"/>
      <c r="C62" s="57"/>
      <c r="D62" s="57"/>
      <c r="E62" s="57"/>
      <c r="F62" s="57"/>
      <c r="G62" s="57"/>
      <c r="H62" s="57"/>
      <c r="I62" s="57"/>
      <c r="J62" s="57"/>
      <c r="K62" s="75"/>
      <c r="L62" s="57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>
      <c r="A63" s="57"/>
      <c r="B63" s="74"/>
      <c r="C63" s="57"/>
      <c r="D63" s="57"/>
      <c r="E63" s="57"/>
      <c r="F63" s="57"/>
      <c r="G63" s="57"/>
      <c r="H63" s="57"/>
      <c r="I63" s="57"/>
      <c r="J63" s="57"/>
      <c r="K63" s="75"/>
      <c r="L63" s="57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>
      <c r="A64" s="57"/>
      <c r="B64" s="74"/>
      <c r="C64" s="57"/>
      <c r="D64" s="57"/>
      <c r="E64" s="57"/>
      <c r="F64" s="57"/>
      <c r="G64" s="57"/>
      <c r="H64" s="57"/>
      <c r="I64" s="57"/>
      <c r="J64" s="57"/>
      <c r="K64" s="75"/>
      <c r="L64" s="57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>
      <c r="A65" s="57"/>
      <c r="B65" s="74"/>
      <c r="C65" s="57"/>
      <c r="D65" s="57"/>
      <c r="E65" s="57"/>
      <c r="F65" s="57"/>
      <c r="G65" s="57"/>
      <c r="H65" s="57"/>
      <c r="I65" s="57"/>
      <c r="J65" s="57"/>
      <c r="K65" s="75"/>
      <c r="L65" s="57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>
      <c r="A66" s="57"/>
      <c r="B66" s="74"/>
      <c r="C66" s="57"/>
      <c r="D66" s="57"/>
      <c r="E66" s="57"/>
      <c r="F66" s="57"/>
      <c r="G66" s="57"/>
      <c r="H66" s="57"/>
      <c r="I66" s="57"/>
      <c r="J66" s="57"/>
      <c r="K66" s="75"/>
      <c r="L66" s="57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>
      <c r="A67" s="57"/>
      <c r="B67" s="74"/>
      <c r="C67" s="57"/>
      <c r="D67" s="57"/>
      <c r="E67" s="57"/>
      <c r="F67" s="57"/>
      <c r="G67" s="57"/>
      <c r="H67" s="57"/>
      <c r="I67" s="57"/>
      <c r="J67" s="57"/>
      <c r="K67" s="75"/>
      <c r="L67" s="57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>
      <c r="A68" s="57"/>
      <c r="B68" s="74"/>
      <c r="C68" s="57"/>
      <c r="D68" s="57"/>
      <c r="E68" s="57"/>
      <c r="F68" s="57"/>
      <c r="G68" s="57"/>
      <c r="H68" s="57"/>
      <c r="I68" s="57"/>
      <c r="J68" s="57"/>
      <c r="K68" s="75"/>
      <c r="L68" s="57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>
      <c r="A69" s="57"/>
      <c r="B69" s="74"/>
      <c r="C69" s="57"/>
      <c r="D69" s="57"/>
      <c r="E69" s="57"/>
      <c r="F69" s="57"/>
      <c r="G69" s="57"/>
      <c r="H69" s="57"/>
      <c r="I69" s="57"/>
      <c r="J69" s="57"/>
      <c r="K69" s="75"/>
      <c r="L69" s="57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>
      <c r="A70" s="57"/>
      <c r="B70" s="74"/>
      <c r="C70" s="57"/>
      <c r="D70" s="57"/>
      <c r="E70" s="57"/>
      <c r="F70" s="57"/>
      <c r="G70" s="57"/>
      <c r="H70" s="57"/>
      <c r="I70" s="57"/>
      <c r="J70" s="57"/>
      <c r="K70" s="75"/>
      <c r="L70" s="57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>
      <c r="A71" s="57"/>
      <c r="B71" s="74"/>
      <c r="C71" s="57"/>
      <c r="D71" s="57"/>
      <c r="E71" s="57"/>
      <c r="F71" s="57"/>
      <c r="G71" s="57"/>
      <c r="H71" s="57"/>
      <c r="I71" s="57"/>
      <c r="J71" s="57"/>
      <c r="K71" s="75"/>
      <c r="L71" s="57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>
      <c r="A72" s="57"/>
      <c r="B72" s="74"/>
      <c r="C72" s="57"/>
      <c r="D72" s="57"/>
      <c r="E72" s="57"/>
      <c r="F72" s="57"/>
      <c r="G72" s="57"/>
      <c r="H72" s="57"/>
      <c r="I72" s="57"/>
      <c r="J72" s="57"/>
      <c r="K72" s="75"/>
      <c r="L72" s="57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>
      <c r="A73" s="57"/>
      <c r="B73" s="74"/>
      <c r="C73" s="57"/>
      <c r="D73" s="57"/>
      <c r="E73" s="57"/>
      <c r="F73" s="57"/>
      <c r="G73" s="57"/>
      <c r="H73" s="57"/>
      <c r="I73" s="57"/>
      <c r="J73" s="57"/>
      <c r="K73" s="75"/>
      <c r="L73" s="57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>
      <c r="A74" s="57"/>
      <c r="B74" s="74"/>
      <c r="C74" s="57"/>
      <c r="D74" s="57"/>
      <c r="E74" s="57"/>
      <c r="F74" s="57"/>
      <c r="G74" s="57"/>
      <c r="H74" s="57"/>
      <c r="I74" s="57"/>
      <c r="J74" s="57"/>
      <c r="K74" s="75"/>
      <c r="L74" s="57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>
      <c r="A75" s="57"/>
      <c r="B75" s="74"/>
      <c r="C75" s="57"/>
      <c r="D75" s="57"/>
      <c r="E75" s="57"/>
      <c r="F75" s="57"/>
      <c r="G75" s="57"/>
      <c r="H75" s="57"/>
      <c r="I75" s="57"/>
      <c r="J75" s="57"/>
      <c r="K75" s="75"/>
      <c r="L75" s="57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>
      <c r="A76" s="57"/>
      <c r="B76" s="74"/>
      <c r="C76" s="57"/>
      <c r="D76" s="57"/>
      <c r="E76" s="57"/>
      <c r="F76" s="57"/>
      <c r="G76" s="57"/>
      <c r="H76" s="57"/>
      <c r="I76" s="57"/>
      <c r="J76" s="57"/>
      <c r="K76" s="75"/>
      <c r="L76" s="57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>
      <c r="A77" s="57"/>
      <c r="B77" s="74"/>
      <c r="C77" s="57"/>
      <c r="D77" s="57"/>
      <c r="E77" s="57"/>
      <c r="F77" s="57"/>
      <c r="G77" s="57"/>
      <c r="H77" s="57"/>
      <c r="I77" s="57"/>
      <c r="J77" s="57"/>
      <c r="K77" s="75"/>
      <c r="L77" s="57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>
      <c r="A78" s="57"/>
      <c r="B78" s="74"/>
      <c r="C78" s="57"/>
      <c r="D78" s="57"/>
      <c r="E78" s="57"/>
      <c r="F78" s="57"/>
      <c r="G78" s="57"/>
      <c r="H78" s="57"/>
      <c r="I78" s="57"/>
      <c r="J78" s="57"/>
      <c r="K78" s="75"/>
      <c r="L78" s="57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>
      <c r="A79" s="57"/>
      <c r="B79" s="74"/>
      <c r="C79" s="57"/>
      <c r="D79" s="57"/>
      <c r="E79" s="57"/>
      <c r="F79" s="57"/>
      <c r="G79" s="57"/>
      <c r="H79" s="57"/>
      <c r="I79" s="57"/>
      <c r="J79" s="57"/>
      <c r="K79" s="75"/>
      <c r="L79" s="57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>
      <c r="A80" s="57"/>
      <c r="B80" s="74"/>
      <c r="C80" s="57"/>
      <c r="D80" s="57"/>
      <c r="E80" s="57"/>
      <c r="F80" s="57"/>
      <c r="G80" s="57"/>
      <c r="H80" s="57"/>
      <c r="I80" s="57"/>
      <c r="J80" s="57"/>
      <c r="K80" s="75"/>
      <c r="L80" s="57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>
      <c r="A81" s="57"/>
      <c r="B81" s="74"/>
      <c r="C81" s="57"/>
      <c r="D81" s="57"/>
      <c r="E81" s="57"/>
      <c r="F81" s="57"/>
      <c r="G81" s="57"/>
      <c r="H81" s="57"/>
      <c r="I81" s="57"/>
      <c r="J81" s="57"/>
      <c r="K81" s="75"/>
      <c r="L81" s="57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>
      <c r="A82" s="57"/>
      <c r="B82" s="74"/>
      <c r="C82" s="57"/>
      <c r="D82" s="57"/>
      <c r="E82" s="57"/>
      <c r="F82" s="57"/>
      <c r="G82" s="57"/>
      <c r="H82" s="57"/>
      <c r="I82" s="57"/>
      <c r="J82" s="57"/>
      <c r="K82" s="75"/>
      <c r="L82" s="57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>
      <c r="A83" s="57"/>
      <c r="B83" s="74"/>
      <c r="C83" s="57"/>
      <c r="D83" s="57"/>
      <c r="E83" s="57"/>
      <c r="F83" s="57"/>
      <c r="G83" s="57"/>
      <c r="H83" s="57"/>
      <c r="I83" s="57"/>
      <c r="J83" s="57"/>
      <c r="K83" s="75"/>
      <c r="L83" s="57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32.25" customHeight="1">
      <c r="A84" s="57"/>
      <c r="B84" s="84" t="s">
        <v>63</v>
      </c>
      <c r="C84" s="85"/>
      <c r="D84" s="85"/>
      <c r="E84" s="85"/>
      <c r="F84" s="85"/>
      <c r="G84" s="85"/>
      <c r="H84" s="85"/>
      <c r="I84" s="85"/>
      <c r="J84" s="85"/>
      <c r="K84" s="86"/>
      <c r="L84" s="57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15.0" customHeight="1">
      <c r="A85" s="57"/>
      <c r="B85" s="74"/>
      <c r="C85" s="57"/>
      <c r="D85" s="57"/>
      <c r="E85" s="57"/>
      <c r="F85" s="57"/>
      <c r="G85" s="57"/>
      <c r="H85" s="57"/>
      <c r="I85" s="57"/>
      <c r="J85" s="57"/>
      <c r="K85" s="75"/>
      <c r="L85" s="57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15.0" customHeight="1">
      <c r="A86" s="57"/>
      <c r="B86" s="74"/>
      <c r="C86" s="57"/>
      <c r="D86" s="57"/>
      <c r="E86" s="57"/>
      <c r="F86" s="57"/>
      <c r="G86" s="57"/>
      <c r="H86" s="57"/>
      <c r="I86" s="57"/>
      <c r="J86" s="57"/>
      <c r="K86" s="75"/>
      <c r="L86" s="57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>
      <c r="A87" s="57"/>
      <c r="B87" s="74"/>
      <c r="C87" s="57"/>
      <c r="D87" s="57"/>
      <c r="E87" s="57"/>
      <c r="F87" s="57"/>
      <c r="G87" s="57"/>
      <c r="H87" s="57"/>
      <c r="I87" s="57"/>
      <c r="J87" s="57"/>
      <c r="K87" s="75"/>
      <c r="L87" s="57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>
      <c r="A88" s="57"/>
      <c r="B88" s="74"/>
      <c r="C88" s="57"/>
      <c r="D88" s="57"/>
      <c r="E88" s="57"/>
      <c r="F88" s="57"/>
      <c r="G88" s="57"/>
      <c r="H88" s="57"/>
      <c r="I88" s="57"/>
      <c r="J88" s="57"/>
      <c r="K88" s="75"/>
      <c r="L88" s="57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>
      <c r="A89" s="57"/>
      <c r="B89" s="74"/>
      <c r="C89" s="57"/>
      <c r="D89" s="57"/>
      <c r="E89" s="57"/>
      <c r="F89" s="57"/>
      <c r="G89" s="57"/>
      <c r="H89" s="57"/>
      <c r="I89" s="57"/>
      <c r="J89" s="57"/>
      <c r="K89" s="75"/>
      <c r="L89" s="57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>
      <c r="A90" s="57"/>
      <c r="B90" s="74"/>
      <c r="C90" s="57"/>
      <c r="D90" s="57"/>
      <c r="E90" s="57"/>
      <c r="F90" s="57"/>
      <c r="G90" s="57"/>
      <c r="H90" s="57"/>
      <c r="I90" s="57"/>
      <c r="J90" s="57"/>
      <c r="K90" s="75"/>
      <c r="L90" s="57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>
      <c r="A91" s="57"/>
      <c r="B91" s="74"/>
      <c r="C91" s="57"/>
      <c r="D91" s="57"/>
      <c r="E91" s="57"/>
      <c r="F91" s="57"/>
      <c r="G91" s="57"/>
      <c r="H91" s="57"/>
      <c r="I91" s="57"/>
      <c r="J91" s="57"/>
      <c r="K91" s="75"/>
      <c r="L91" s="57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>
      <c r="A92" s="57"/>
      <c r="B92" s="74"/>
      <c r="C92" s="57"/>
      <c r="D92" s="57"/>
      <c r="E92" s="57"/>
      <c r="F92" s="57"/>
      <c r="G92" s="57"/>
      <c r="H92" s="57"/>
      <c r="I92" s="57"/>
      <c r="J92" s="57"/>
      <c r="K92" s="75"/>
      <c r="L92" s="57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>
      <c r="A93" s="57"/>
      <c r="B93" s="74"/>
      <c r="C93" s="57"/>
      <c r="D93" s="57"/>
      <c r="E93" s="57"/>
      <c r="F93" s="57"/>
      <c r="G93" s="57"/>
      <c r="H93" s="57"/>
      <c r="I93" s="57"/>
      <c r="J93" s="57"/>
      <c r="K93" s="75"/>
      <c r="L93" s="57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>
      <c r="A94" s="57"/>
      <c r="B94" s="74"/>
      <c r="C94" s="57"/>
      <c r="D94" s="57"/>
      <c r="E94" s="57"/>
      <c r="F94" s="57"/>
      <c r="G94" s="57"/>
      <c r="H94" s="57"/>
      <c r="I94" s="57"/>
      <c r="J94" s="57"/>
      <c r="K94" s="75"/>
      <c r="L94" s="57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>
      <c r="A95" s="57"/>
      <c r="B95" s="74"/>
      <c r="C95" s="57"/>
      <c r="D95" s="57"/>
      <c r="E95" s="57"/>
      <c r="F95" s="57"/>
      <c r="G95" s="57"/>
      <c r="H95" s="57"/>
      <c r="I95" s="57"/>
      <c r="J95" s="57"/>
      <c r="K95" s="75"/>
      <c r="L95" s="57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>
      <c r="A96" s="57"/>
      <c r="B96" s="74"/>
      <c r="C96" s="57"/>
      <c r="D96" s="57"/>
      <c r="E96" s="57"/>
      <c r="F96" s="57"/>
      <c r="G96" s="57"/>
      <c r="H96" s="57"/>
      <c r="I96" s="57"/>
      <c r="J96" s="57"/>
      <c r="K96" s="75"/>
      <c r="L96" s="57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>
      <c r="A97" s="57"/>
      <c r="B97" s="74"/>
      <c r="C97" s="57"/>
      <c r="D97" s="57"/>
      <c r="E97" s="57"/>
      <c r="F97" s="57"/>
      <c r="G97" s="57"/>
      <c r="H97" s="57"/>
      <c r="I97" s="57"/>
      <c r="J97" s="57"/>
      <c r="K97" s="75"/>
      <c r="L97" s="57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>
      <c r="A98" s="57"/>
      <c r="B98" s="74"/>
      <c r="C98" s="57"/>
      <c r="D98" s="57"/>
      <c r="E98" s="57"/>
      <c r="F98" s="57"/>
      <c r="G98" s="57"/>
      <c r="H98" s="57"/>
      <c r="I98" s="57"/>
      <c r="J98" s="57"/>
      <c r="K98" s="75"/>
      <c r="L98" s="57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>
      <c r="A99" s="57"/>
      <c r="B99" s="74"/>
      <c r="C99" s="57"/>
      <c r="D99" s="57"/>
      <c r="E99" s="57"/>
      <c r="F99" s="57"/>
      <c r="G99" s="57"/>
      <c r="H99" s="57"/>
      <c r="I99" s="57"/>
      <c r="J99" s="57"/>
      <c r="K99" s="75"/>
      <c r="L99" s="57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>
      <c r="A100" s="57"/>
      <c r="B100" s="74"/>
      <c r="C100" s="57"/>
      <c r="D100" s="57"/>
      <c r="E100" s="57"/>
      <c r="F100" s="57"/>
      <c r="G100" s="57"/>
      <c r="H100" s="57"/>
      <c r="I100" s="57"/>
      <c r="J100" s="57"/>
      <c r="K100" s="75"/>
      <c r="L100" s="57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>
      <c r="A101" s="57"/>
      <c r="B101" s="74"/>
      <c r="C101" s="57"/>
      <c r="D101" s="57"/>
      <c r="E101" s="57"/>
      <c r="F101" s="57"/>
      <c r="G101" s="57"/>
      <c r="H101" s="57"/>
      <c r="I101" s="57"/>
      <c r="J101" s="57"/>
      <c r="K101" s="75"/>
      <c r="L101" s="57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>
      <c r="A102" s="57"/>
      <c r="B102" s="74"/>
      <c r="C102" s="57"/>
      <c r="D102" s="57"/>
      <c r="E102" s="57"/>
      <c r="F102" s="57"/>
      <c r="G102" s="57"/>
      <c r="H102" s="57"/>
      <c r="I102" s="57"/>
      <c r="J102" s="57"/>
      <c r="K102" s="75"/>
      <c r="L102" s="57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>
      <c r="A103" s="57"/>
      <c r="B103" s="74"/>
      <c r="C103" s="57"/>
      <c r="D103" s="57"/>
      <c r="E103" s="57"/>
      <c r="F103" s="57"/>
      <c r="G103" s="57"/>
      <c r="H103" s="57"/>
      <c r="I103" s="57"/>
      <c r="J103" s="57"/>
      <c r="K103" s="75"/>
      <c r="L103" s="57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>
      <c r="A104" s="57"/>
      <c r="B104" s="74"/>
      <c r="C104" s="57"/>
      <c r="D104" s="57"/>
      <c r="E104" s="57"/>
      <c r="F104" s="57"/>
      <c r="G104" s="57"/>
      <c r="H104" s="57"/>
      <c r="I104" s="57"/>
      <c r="J104" s="57"/>
      <c r="K104" s="75"/>
      <c r="L104" s="57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>
      <c r="A105" s="57"/>
      <c r="B105" s="74"/>
      <c r="C105" s="57"/>
      <c r="D105" s="57"/>
      <c r="E105" s="57"/>
      <c r="F105" s="57"/>
      <c r="G105" s="57"/>
      <c r="H105" s="57"/>
      <c r="I105" s="57"/>
      <c r="J105" s="57"/>
      <c r="K105" s="75"/>
      <c r="L105" s="57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>
      <c r="A106" s="57"/>
      <c r="B106" s="74"/>
      <c r="C106" s="57"/>
      <c r="D106" s="57"/>
      <c r="E106" s="57"/>
      <c r="F106" s="57"/>
      <c r="G106" s="57"/>
      <c r="H106" s="57"/>
      <c r="I106" s="57"/>
      <c r="J106" s="57"/>
      <c r="K106" s="75"/>
      <c r="L106" s="57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>
      <c r="A107" s="57"/>
      <c r="B107" s="74"/>
      <c r="C107" s="57"/>
      <c r="D107" s="57"/>
      <c r="E107" s="57"/>
      <c r="F107" s="57"/>
      <c r="G107" s="57"/>
      <c r="H107" s="57"/>
      <c r="I107" s="57"/>
      <c r="J107" s="57"/>
      <c r="K107" s="75"/>
      <c r="L107" s="57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>
      <c r="A108" s="57"/>
      <c r="B108" s="87"/>
      <c r="C108" s="57"/>
      <c r="D108" s="57"/>
      <c r="E108" s="57"/>
      <c r="F108" s="57"/>
      <c r="G108" s="57"/>
      <c r="H108" s="57"/>
      <c r="I108" s="57"/>
      <c r="J108" s="57"/>
      <c r="K108" s="75"/>
      <c r="L108" s="57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>
      <c r="A109" s="57"/>
      <c r="B109" s="87"/>
      <c r="C109" s="57"/>
      <c r="D109" s="57"/>
      <c r="E109" s="57"/>
      <c r="F109" s="57"/>
      <c r="G109" s="57"/>
      <c r="H109" s="57"/>
      <c r="I109" s="57"/>
      <c r="J109" s="57"/>
      <c r="K109" s="75"/>
      <c r="L109" s="57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>
      <c r="A110" s="57"/>
      <c r="B110" s="87"/>
      <c r="C110" s="57"/>
      <c r="D110" s="57"/>
      <c r="E110" s="57"/>
      <c r="F110" s="57"/>
      <c r="G110" s="57"/>
      <c r="H110" s="57"/>
      <c r="I110" s="57"/>
      <c r="J110" s="57"/>
      <c r="K110" s="75"/>
      <c r="L110" s="57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>
      <c r="A111" s="57"/>
      <c r="B111" s="87"/>
      <c r="C111" s="57"/>
      <c r="D111" s="57"/>
      <c r="E111" s="57"/>
      <c r="F111" s="57"/>
      <c r="G111" s="57"/>
      <c r="H111" s="57"/>
      <c r="I111" s="57"/>
      <c r="J111" s="57"/>
      <c r="K111" s="75"/>
      <c r="L111" s="57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>
      <c r="A112" s="57"/>
      <c r="B112" s="76"/>
      <c r="F112" s="57"/>
      <c r="K112" s="77"/>
      <c r="L112" s="57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>
      <c r="A113" s="57"/>
      <c r="B113" s="76"/>
      <c r="F113" s="57"/>
      <c r="K113" s="77"/>
      <c r="L113" s="57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>
      <c r="A114" s="57"/>
      <c r="B114" s="76"/>
      <c r="F114" s="57"/>
      <c r="K114" s="77"/>
      <c r="L114" s="57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>
      <c r="A115" s="57"/>
      <c r="B115" s="76"/>
      <c r="F115" s="57"/>
      <c r="K115" s="77"/>
      <c r="L115" s="57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>
      <c r="A116" s="57"/>
      <c r="B116" s="76"/>
      <c r="F116" s="57"/>
      <c r="K116" s="77"/>
      <c r="L116" s="57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>
      <c r="A117" s="57"/>
      <c r="B117" s="76"/>
      <c r="F117" s="57"/>
      <c r="K117" s="77"/>
      <c r="L117" s="57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>
      <c r="A118" s="57"/>
      <c r="B118" s="76"/>
      <c r="F118" s="57"/>
      <c r="K118" s="77"/>
      <c r="L118" s="57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>
      <c r="A119" s="57"/>
      <c r="B119" s="76"/>
      <c r="F119" s="57"/>
      <c r="K119" s="77"/>
      <c r="L119" s="57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>
      <c r="A120" s="57"/>
      <c r="B120" s="76"/>
      <c r="F120" s="57"/>
      <c r="K120" s="77"/>
      <c r="L120" s="57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>
      <c r="A121" s="57"/>
      <c r="B121" s="76"/>
      <c r="F121" s="57"/>
      <c r="K121" s="77"/>
      <c r="L121" s="57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>
      <c r="A122" s="57"/>
      <c r="B122" s="76"/>
      <c r="F122" s="57"/>
      <c r="K122" s="77"/>
      <c r="L122" s="57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>
      <c r="A123" s="57"/>
      <c r="B123" s="76"/>
      <c r="F123" s="57"/>
      <c r="K123" s="77"/>
      <c r="L123" s="57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>
      <c r="A124" s="57"/>
      <c r="B124" s="76"/>
      <c r="F124" s="57"/>
      <c r="K124" s="77"/>
      <c r="L124" s="57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>
      <c r="A125" s="57"/>
      <c r="B125" s="76"/>
      <c r="F125" s="57"/>
      <c r="K125" s="77"/>
      <c r="L125" s="57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>
      <c r="A126" s="57"/>
      <c r="B126" s="76"/>
      <c r="F126" s="57"/>
      <c r="K126" s="77"/>
      <c r="L126" s="57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>
      <c r="A127" s="57"/>
      <c r="B127" s="76"/>
      <c r="F127" s="57"/>
      <c r="K127" s="77"/>
      <c r="L127" s="57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>
      <c r="A128" s="57"/>
      <c r="B128" s="76"/>
      <c r="F128" s="57"/>
      <c r="K128" s="77"/>
      <c r="L128" s="57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>
      <c r="A129" s="57"/>
      <c r="B129" s="76"/>
      <c r="F129" s="57"/>
      <c r="K129" s="77"/>
      <c r="L129" s="57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>
      <c r="A130" s="57"/>
      <c r="B130" s="76"/>
      <c r="F130" s="57"/>
      <c r="K130" s="77"/>
      <c r="L130" s="57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>
      <c r="A131" s="57"/>
      <c r="B131" s="76"/>
      <c r="F131" s="57"/>
      <c r="K131" s="77"/>
      <c r="L131" s="57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>
      <c r="A132" s="57"/>
      <c r="B132" s="76"/>
      <c r="F132" s="57"/>
      <c r="K132" s="77"/>
      <c r="L132" s="57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9.5" customHeight="1">
      <c r="A133" s="57"/>
      <c r="B133" s="88"/>
      <c r="C133" s="89"/>
      <c r="D133" s="89"/>
      <c r="E133" s="89"/>
      <c r="F133" s="90"/>
      <c r="G133" s="89"/>
      <c r="H133" s="89"/>
      <c r="I133" s="89"/>
      <c r="J133" s="89"/>
      <c r="K133" s="91"/>
      <c r="L133" s="57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0.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92" t="s">
        <v>57</v>
      </c>
      <c r="X261" s="93">
        <f>E4</f>
        <v>125423.5718</v>
      </c>
      <c r="Y261" s="58"/>
      <c r="Z261" s="58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92" t="s">
        <v>62</v>
      </c>
      <c r="X262" s="93">
        <f>J59</f>
        <v>177011.31</v>
      </c>
      <c r="Y262" s="58"/>
      <c r="Z262" s="58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>
      <c r="A1001" s="58"/>
      <c r="B1001" s="58"/>
      <c r="C1001" s="58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  <row r="1002">
      <c r="A1002" s="58"/>
      <c r="B1002" s="58"/>
      <c r="C1002" s="58"/>
      <c r="D1002" s="58"/>
      <c r="E1002" s="58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</row>
    <row r="1003">
      <c r="A1003" s="58"/>
      <c r="B1003" s="58"/>
      <c r="C1003" s="58"/>
      <c r="D1003" s="58"/>
      <c r="E1003" s="58"/>
      <c r="F1003" s="58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</row>
    <row r="1004">
      <c r="A1004" s="58"/>
      <c r="B1004" s="58"/>
      <c r="C1004" s="58"/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</row>
    <row r="1005">
      <c r="A1005" s="58"/>
      <c r="B1005" s="58"/>
      <c r="C1005" s="58"/>
      <c r="D1005" s="58"/>
      <c r="E1005" s="58"/>
      <c r="F1005" s="58"/>
      <c r="G1005" s="58"/>
      <c r="H1005" s="58"/>
      <c r="I1005" s="58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</row>
    <row r="1006">
      <c r="A1006" s="58"/>
      <c r="B1006" s="58"/>
      <c r="C1006" s="58"/>
      <c r="D1006" s="58"/>
      <c r="E1006" s="58"/>
      <c r="F1006" s="58"/>
      <c r="G1006" s="58"/>
      <c r="H1006" s="58"/>
      <c r="I1006" s="58"/>
      <c r="J1006" s="58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</row>
    <row r="1007">
      <c r="A1007" s="58"/>
      <c r="B1007" s="58"/>
      <c r="C1007" s="58"/>
      <c r="D1007" s="58"/>
      <c r="E1007" s="58"/>
      <c r="F1007" s="58"/>
      <c r="G1007" s="58"/>
      <c r="H1007" s="58"/>
      <c r="I1007" s="58"/>
      <c r="J1007" s="58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</row>
    <row r="1008">
      <c r="A1008" s="58"/>
      <c r="B1008" s="58"/>
      <c r="C1008" s="58"/>
      <c r="D1008" s="58"/>
      <c r="E1008" s="58"/>
      <c r="F1008" s="58"/>
      <c r="G1008" s="58"/>
      <c r="H1008" s="58"/>
      <c r="I1008" s="58"/>
      <c r="J1008" s="58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</row>
    <row r="1009">
      <c r="A1009" s="58"/>
      <c r="B1009" s="58"/>
      <c r="C1009" s="58"/>
      <c r="D1009" s="58"/>
      <c r="E1009" s="58"/>
      <c r="F1009" s="58"/>
      <c r="G1009" s="58"/>
      <c r="H1009" s="58"/>
      <c r="I1009" s="58"/>
      <c r="J1009" s="58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</row>
    <row r="1010">
      <c r="A1010" s="58"/>
      <c r="B1010" s="58"/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</row>
    <row r="1011">
      <c r="A1011" s="58"/>
      <c r="B1011" s="58"/>
      <c r="C1011" s="58"/>
      <c r="D1011" s="58"/>
      <c r="E1011" s="58"/>
      <c r="F1011" s="58"/>
      <c r="G1011" s="58"/>
      <c r="H1011" s="58"/>
      <c r="I1011" s="58"/>
      <c r="J1011" s="58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</row>
    <row r="1012">
      <c r="A1012" s="58"/>
      <c r="B1012" s="58"/>
      <c r="C1012" s="58"/>
      <c r="D1012" s="58"/>
      <c r="E1012" s="58"/>
      <c r="F1012" s="58"/>
      <c r="G1012" s="58"/>
      <c r="H1012" s="58"/>
      <c r="I1012" s="58"/>
      <c r="J1012" s="58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</row>
    <row r="1013">
      <c r="A1013" s="58"/>
      <c r="B1013" s="58"/>
      <c r="C1013" s="58"/>
      <c r="D1013" s="58"/>
      <c r="E1013" s="58"/>
      <c r="F1013" s="58"/>
      <c r="G1013" s="58"/>
      <c r="H1013" s="58"/>
      <c r="I1013" s="58"/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</row>
    <row r="1014">
      <c r="A1014" s="58"/>
      <c r="B1014" s="58"/>
      <c r="C1014" s="58"/>
      <c r="D1014" s="58"/>
      <c r="E1014" s="58"/>
      <c r="F1014" s="58"/>
      <c r="G1014" s="58"/>
      <c r="H1014" s="58"/>
      <c r="I1014" s="58"/>
      <c r="J1014" s="58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</row>
    <row r="1015">
      <c r="A1015" s="58"/>
      <c r="B1015" s="58"/>
      <c r="C1015" s="58"/>
      <c r="D1015" s="58"/>
      <c r="E1015" s="58"/>
      <c r="F1015" s="58"/>
      <c r="G1015" s="58"/>
      <c r="H1015" s="58"/>
      <c r="I1015" s="58"/>
      <c r="J1015" s="58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</row>
    <row r="1016">
      <c r="A1016" s="58"/>
      <c r="B1016" s="58"/>
      <c r="C1016" s="58"/>
      <c r="D1016" s="58"/>
      <c r="E1016" s="58"/>
      <c r="F1016" s="58"/>
      <c r="G1016" s="58"/>
      <c r="H1016" s="58"/>
      <c r="I1016" s="58"/>
      <c r="J1016" s="58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</row>
    <row r="1017">
      <c r="A1017" s="58"/>
      <c r="B1017" s="58"/>
      <c r="C1017" s="58"/>
      <c r="D1017" s="58"/>
      <c r="E1017" s="58"/>
      <c r="F1017" s="58"/>
      <c r="G1017" s="58"/>
      <c r="H1017" s="58"/>
      <c r="I1017" s="58"/>
      <c r="J1017" s="58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</row>
    <row r="1018">
      <c r="A1018" s="58"/>
      <c r="B1018" s="58"/>
      <c r="C1018" s="58"/>
      <c r="D1018" s="58"/>
      <c r="E1018" s="58"/>
      <c r="F1018" s="58"/>
      <c r="G1018" s="58"/>
      <c r="H1018" s="58"/>
      <c r="I1018" s="58"/>
      <c r="J1018" s="58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</row>
    <row r="1019">
      <c r="A1019" s="58"/>
      <c r="B1019" s="58"/>
      <c r="C1019" s="58"/>
      <c r="D1019" s="58"/>
      <c r="E1019" s="58"/>
      <c r="F1019" s="58"/>
      <c r="G1019" s="58"/>
      <c r="H1019" s="58"/>
      <c r="I1019" s="58"/>
      <c r="J1019" s="58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</row>
    <row r="1020">
      <c r="A1020" s="58"/>
      <c r="B1020" s="58"/>
      <c r="C1020" s="58"/>
      <c r="D1020" s="58"/>
      <c r="E1020" s="58"/>
      <c r="F1020" s="58"/>
      <c r="G1020" s="58"/>
      <c r="H1020" s="58"/>
      <c r="I1020" s="58"/>
      <c r="J1020" s="58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</row>
    <row r="1021">
      <c r="A1021" s="58"/>
      <c r="B1021" s="58"/>
      <c r="C1021" s="58"/>
      <c r="D1021" s="58"/>
      <c r="E1021" s="58"/>
      <c r="F1021" s="58"/>
      <c r="G1021" s="58"/>
      <c r="H1021" s="58"/>
      <c r="I1021" s="58"/>
      <c r="J1021" s="58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</row>
    <row r="1022">
      <c r="A1022" s="58"/>
      <c r="B1022" s="58"/>
      <c r="C1022" s="58"/>
      <c r="D1022" s="58"/>
      <c r="E1022" s="58"/>
      <c r="F1022" s="58"/>
      <c r="G1022" s="58"/>
      <c r="H1022" s="58"/>
      <c r="I1022" s="58"/>
      <c r="J1022" s="58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</row>
    <row r="1023">
      <c r="A1023" s="58"/>
      <c r="B1023" s="58"/>
      <c r="C1023" s="58"/>
      <c r="D1023" s="58"/>
      <c r="E1023" s="58"/>
      <c r="F1023" s="58"/>
      <c r="G1023" s="58"/>
      <c r="H1023" s="58"/>
      <c r="I1023" s="58"/>
      <c r="J1023" s="58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</row>
    <row r="1024">
      <c r="A1024" s="58"/>
      <c r="B1024" s="58"/>
      <c r="C1024" s="58"/>
      <c r="D1024" s="58"/>
      <c r="E1024" s="58"/>
      <c r="F1024" s="58"/>
      <c r="G1024" s="58"/>
      <c r="H1024" s="58"/>
      <c r="I1024" s="58"/>
      <c r="J1024" s="58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</row>
    <row r="1025">
      <c r="A1025" s="58"/>
      <c r="B1025" s="58"/>
      <c r="C1025" s="58"/>
      <c r="D1025" s="58"/>
      <c r="E1025" s="58"/>
      <c r="F1025" s="58"/>
      <c r="G1025" s="58"/>
      <c r="H1025" s="58"/>
      <c r="I1025" s="58"/>
      <c r="J1025" s="58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</row>
    <row r="1026">
      <c r="A1026" s="58"/>
      <c r="B1026" s="58"/>
      <c r="C1026" s="58"/>
      <c r="D1026" s="58"/>
      <c r="E1026" s="58"/>
      <c r="F1026" s="58"/>
      <c r="G1026" s="58"/>
      <c r="H1026" s="58"/>
      <c r="I1026" s="58"/>
      <c r="J1026" s="58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</row>
    <row r="1027">
      <c r="A1027" s="58"/>
      <c r="B1027" s="58"/>
      <c r="C1027" s="58"/>
      <c r="D1027" s="58"/>
      <c r="E1027" s="58"/>
      <c r="F1027" s="58"/>
      <c r="G1027" s="58"/>
      <c r="H1027" s="58"/>
      <c r="I1027" s="58"/>
      <c r="J1027" s="58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</row>
    <row r="1028">
      <c r="A1028" s="58"/>
      <c r="B1028" s="58"/>
      <c r="C1028" s="58"/>
      <c r="D1028" s="58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</row>
    <row r="1029">
      <c r="A1029" s="58"/>
      <c r="B1029" s="58"/>
      <c r="C1029" s="58"/>
      <c r="D1029" s="58"/>
      <c r="E1029" s="58"/>
      <c r="F1029" s="58"/>
      <c r="G1029" s="58"/>
      <c r="H1029" s="58"/>
      <c r="I1029" s="58"/>
      <c r="J1029" s="58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</row>
    <row r="1030">
      <c r="A1030" s="58"/>
      <c r="B1030" s="58"/>
      <c r="C1030" s="58"/>
      <c r="D1030" s="58"/>
      <c r="E1030" s="58"/>
      <c r="F1030" s="58"/>
      <c r="G1030" s="58"/>
      <c r="H1030" s="58"/>
      <c r="I1030" s="58"/>
      <c r="J1030" s="58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</row>
    <row r="1031">
      <c r="A1031" s="58"/>
      <c r="B1031" s="58"/>
      <c r="C1031" s="58"/>
      <c r="D1031" s="58"/>
      <c r="E1031" s="58"/>
      <c r="F1031" s="58"/>
      <c r="G1031" s="58"/>
      <c r="H1031" s="58"/>
      <c r="I1031" s="58"/>
      <c r="J1031" s="58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</row>
    <row r="1032">
      <c r="A1032" s="58"/>
      <c r="B1032" s="58"/>
      <c r="C1032" s="58"/>
      <c r="D1032" s="58"/>
      <c r="E1032" s="58"/>
      <c r="F1032" s="58"/>
      <c r="G1032" s="58"/>
      <c r="H1032" s="58"/>
      <c r="I1032" s="58"/>
      <c r="J1032" s="58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</row>
    <row r="1033">
      <c r="A1033" s="58"/>
      <c r="B1033" s="58"/>
      <c r="C1033" s="58"/>
      <c r="D1033" s="58"/>
      <c r="E1033" s="58"/>
      <c r="F1033" s="58"/>
      <c r="G1033" s="58"/>
      <c r="H1033" s="58"/>
      <c r="I1033" s="58"/>
      <c r="J1033" s="58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</row>
    <row r="1034">
      <c r="A1034" s="58"/>
      <c r="B1034" s="58"/>
      <c r="C1034" s="58"/>
      <c r="D1034" s="58"/>
      <c r="E1034" s="58"/>
      <c r="F1034" s="58"/>
      <c r="G1034" s="58"/>
      <c r="H1034" s="58"/>
      <c r="I1034" s="58"/>
      <c r="J1034" s="58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</row>
    <row r="1035">
      <c r="A1035" s="58"/>
      <c r="B1035" s="58"/>
      <c r="C1035" s="58"/>
      <c r="D1035" s="58"/>
      <c r="E1035" s="58"/>
      <c r="F1035" s="58"/>
      <c r="G1035" s="58"/>
      <c r="H1035" s="58"/>
      <c r="I1035" s="58"/>
      <c r="J1035" s="58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</row>
    <row r="1036">
      <c r="A1036" s="58"/>
      <c r="B1036" s="58"/>
      <c r="C1036" s="58"/>
      <c r="D1036" s="58"/>
      <c r="E1036" s="58"/>
      <c r="F1036" s="58"/>
      <c r="G1036" s="58"/>
      <c r="H1036" s="58"/>
      <c r="I1036" s="58"/>
      <c r="J1036" s="58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</row>
    <row r="1037">
      <c r="A1037" s="58"/>
      <c r="B1037" s="58"/>
      <c r="C1037" s="58"/>
      <c r="D1037" s="58"/>
      <c r="E1037" s="58"/>
      <c r="F1037" s="58"/>
      <c r="G1037" s="58"/>
      <c r="H1037" s="58"/>
      <c r="I1037" s="58"/>
      <c r="J1037" s="58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</row>
    <row r="1038">
      <c r="A1038" s="58"/>
      <c r="B1038" s="58"/>
      <c r="C1038" s="58"/>
      <c r="D1038" s="58"/>
      <c r="E1038" s="58"/>
      <c r="F1038" s="58"/>
      <c r="G1038" s="58"/>
      <c r="H1038" s="58"/>
      <c r="I1038" s="58"/>
      <c r="J1038" s="58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</row>
    <row r="1039">
      <c r="A1039" s="58"/>
      <c r="B1039" s="58"/>
      <c r="C1039" s="58"/>
      <c r="D1039" s="58"/>
      <c r="E1039" s="58"/>
      <c r="F1039" s="58"/>
      <c r="G1039" s="58"/>
      <c r="H1039" s="58"/>
      <c r="I1039" s="58"/>
      <c r="J1039" s="58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</row>
    <row r="1040">
      <c r="A1040" s="58"/>
      <c r="B1040" s="58"/>
      <c r="C1040" s="58"/>
      <c r="D1040" s="58"/>
      <c r="E1040" s="58"/>
      <c r="F1040" s="58"/>
      <c r="G1040" s="58"/>
      <c r="H1040" s="58"/>
      <c r="I1040" s="58"/>
      <c r="J1040" s="58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</row>
  </sheetData>
  <mergeCells count="9">
    <mergeCell ref="G59:I59"/>
    <mergeCell ref="B84:K84"/>
    <mergeCell ref="B2:K2"/>
    <mergeCell ref="B3:K3"/>
    <mergeCell ref="I4:J4"/>
    <mergeCell ref="B58:K58"/>
    <mergeCell ref="B59:C59"/>
    <mergeCell ref="D59:E59"/>
    <mergeCell ref="J59:K5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19.13"/>
    <col customWidth="1" min="3" max="3" width="34.38"/>
    <col customWidth="1" min="4" max="4" width="10.75"/>
    <col customWidth="1" min="5" max="5" width="11.88"/>
    <col customWidth="1" min="6" max="6" width="12.88"/>
    <col customWidth="1" min="7" max="7" width="12.38"/>
    <col customWidth="1" min="8" max="8" width="15.5"/>
    <col customWidth="1" min="9" max="9" width="15.13"/>
    <col customWidth="1" min="10" max="10" width="13.13"/>
    <col customWidth="1" min="11" max="11" width="14.0"/>
    <col customWidth="1" min="12" max="12" width="25.88"/>
  </cols>
  <sheetData>
    <row r="1" ht="10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5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7" t="s">
        <v>2</v>
      </c>
      <c r="C3" s="7" t="s">
        <v>3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7" t="s">
        <v>15</v>
      </c>
      <c r="K3" s="7" t="s">
        <v>16</v>
      </c>
      <c r="L3" s="7" t="s">
        <v>17</v>
      </c>
      <c r="M3" s="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" t="str">
        <f>NFLX!C2</f>
        <v>NFLX</v>
      </c>
      <c r="C4" s="9" t="str">
        <f>NFLX!F2</f>
        <v>Netflix Inc</v>
      </c>
      <c r="D4" s="11">
        <f>NFLX!J12</f>
        <v>8.22765665</v>
      </c>
      <c r="E4" s="10">
        <f>NFLX!J16*C30</f>
        <v>577.8276266</v>
      </c>
      <c r="F4" s="10">
        <f>NFLX!J12*NFLX!J16*C30</f>
        <v>4754.167315</v>
      </c>
      <c r="G4" s="10">
        <f t="shared" ref="G4:G25" si="1">IF(D4="","",D4*H4)</f>
        <v>3037.102174</v>
      </c>
      <c r="H4" s="10">
        <f>IFERROR(__xludf.DUMMYFUNCTION("IF(B5="""","""",GOOGLEFINANCE(B4))*C30"),369.133315)</f>
        <v>369.133315</v>
      </c>
      <c r="I4" s="12">
        <f t="shared" ref="I4:I25" si="2">IF(J4="","",J4/F4)</f>
        <v>-0.3611705326</v>
      </c>
      <c r="J4" s="10">
        <f t="shared" ref="J4:J25" si="3">IF(G4="","",G4-F4)</f>
        <v>-1717.065141</v>
      </c>
      <c r="K4" s="9" t="str">
        <f>IF(B4="","",VLOOKUP(B4,DB!$A$4:$G$1906,7,0))</f>
        <v>Stock</v>
      </c>
      <c r="L4" s="9" t="str">
        <f>IF(B4="","",VLOOKUP(B4,DB!$A$4:$G$1906,6,0))</f>
        <v>EUA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9" t="str">
        <f>AAPL!C2</f>
        <v>AAPL</v>
      </c>
      <c r="C5" s="9" t="str">
        <f>AAPL!F2</f>
        <v>Apple Inc</v>
      </c>
      <c r="D5" s="9">
        <f>AAPL!J12</f>
        <v>5.752720747</v>
      </c>
      <c r="E5" s="10">
        <f>AAPL!J16*C30</f>
        <v>1167.121462</v>
      </c>
      <c r="F5" s="10">
        <f>AAPL!J12*AAPL!J16*C30</f>
        <v>6714.123846</v>
      </c>
      <c r="G5" s="10">
        <f t="shared" si="1"/>
        <v>10179.46966</v>
      </c>
      <c r="H5" s="10">
        <f>IFERROR(__xludf.DUMMYFUNCTION("IF(B5="""","""",GOOGLEFINANCE(B5))*C30"),1769.5052669999998)</f>
        <v>1769.505267</v>
      </c>
      <c r="I5" s="12">
        <f t="shared" si="2"/>
        <v>0.5161277771</v>
      </c>
      <c r="J5" s="10">
        <f t="shared" si="3"/>
        <v>3465.345816</v>
      </c>
      <c r="K5" s="13" t="s">
        <v>19</v>
      </c>
      <c r="L5" s="13" t="s">
        <v>20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9" t="str">
        <f>META!C2</f>
        <v>META</v>
      </c>
      <c r="C6" s="9" t="str">
        <f>META!F2</f>
        <v>Meta Platforms Inc</v>
      </c>
      <c r="D6" s="9">
        <f>META!J12</f>
        <v>1.26859555</v>
      </c>
      <c r="E6" s="10">
        <f>META!J16*C30</f>
        <v>3747.583155</v>
      </c>
      <c r="F6" s="10">
        <f>META!J12*META!J16*C30</f>
        <v>4754.167314</v>
      </c>
      <c r="G6" s="10">
        <f t="shared" si="1"/>
        <v>4947.125887</v>
      </c>
      <c r="H6" s="10">
        <f>IFERROR(__xludf.DUMMYFUNCTION("IF(B6="""","""",GOOGLEFINANCE(B6))*C30"),3899.6872459999995)</f>
        <v>3899.687246</v>
      </c>
      <c r="I6" s="12">
        <f t="shared" si="2"/>
        <v>0.04058724908</v>
      </c>
      <c r="J6" s="10">
        <f t="shared" si="3"/>
        <v>192.9585729</v>
      </c>
      <c r="K6" s="9" t="str">
        <f>IF(B6="","",VLOOKUP(B6,DB!$A$4:$G$1906,7,0))</f>
        <v>Stock</v>
      </c>
      <c r="L6" s="9" t="str">
        <f>IF(B6="","",VLOOKUP(B6,DB!$A$4:$G$1906,6,0))</f>
        <v>EUA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9" t="str">
        <f>FAST!C2</f>
        <v>FAST</v>
      </c>
      <c r="C7" s="9" t="str">
        <f>FAST!F2</f>
        <v>Fastenal Co</v>
      </c>
      <c r="D7" s="9">
        <f>FAST!J12</f>
        <v>32.42390252</v>
      </c>
      <c r="E7" s="10">
        <f>FAST!J16*C30</f>
        <v>203.5449825</v>
      </c>
      <c r="F7" s="10">
        <f>FAST!J12*FAST!J16*C30</f>
        <v>6599.722669</v>
      </c>
      <c r="G7" s="10">
        <f t="shared" si="1"/>
        <v>8483.256366</v>
      </c>
      <c r="H7" s="10">
        <f>IFERROR(__xludf.DUMMYFUNCTION("IF(B7="""","""",GOOGLEFINANCE(B7))*C30"),261.635883)</f>
        <v>261.635883</v>
      </c>
      <c r="I7" s="12">
        <f t="shared" si="2"/>
        <v>0.2853958856</v>
      </c>
      <c r="J7" s="10">
        <f t="shared" si="3"/>
        <v>1883.533696</v>
      </c>
      <c r="K7" s="9" t="str">
        <f>IF(B7="","",VLOOKUP(B7,DB!$A$4:$G$1906,7,0))</f>
        <v>Stock</v>
      </c>
      <c r="L7" s="9" t="str">
        <f>IF(B7="","",VLOOKUP(B7,DB!$A$4:$G$1906,6,0))</f>
        <v>Industrial Distribution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9" t="str">
        <f>APH!C2</f>
        <v>APH</v>
      </c>
      <c r="C8" s="9" t="str">
        <f>APH!F2</f>
        <v>Amphenol Corp</v>
      </c>
      <c r="D8" s="9">
        <f>APH!J12</f>
        <v>27.64469783</v>
      </c>
      <c r="E8" s="10">
        <f>APH!J16*C30</f>
        <v>237.0834216</v>
      </c>
      <c r="F8" s="10">
        <f>APH!J12*APH!J16*C30</f>
        <v>6554.09955</v>
      </c>
      <c r="G8" s="10">
        <f t="shared" si="1"/>
        <v>12060.47848</v>
      </c>
      <c r="H8" s="10">
        <f>IFERROR(__xludf.DUMMYFUNCTION("IF(B8="""","""",GOOGLEFINANCE(B8))*C30"),436.26732899999996)</f>
        <v>436.267329</v>
      </c>
      <c r="I8" s="12">
        <f t="shared" si="2"/>
        <v>0.8401427063</v>
      </c>
      <c r="J8" s="10">
        <f t="shared" si="3"/>
        <v>5506.378934</v>
      </c>
      <c r="K8" s="9" t="str">
        <f>IF(B8="","",VLOOKUP(B8,DB!$A$4:$G$1906,7,0))</f>
        <v>Stock</v>
      </c>
      <c r="L8" s="9" t="str">
        <f>IF(B8="","",VLOOKUP(B8,DB!$A$4:$G$1906,6,0))</f>
        <v>Electronic Components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9" t="str">
        <f>KO!C2</f>
        <v>KO</v>
      </c>
      <c r="C9" s="9" t="str">
        <f>KO!F2</f>
        <v>Coca-Cola Co</v>
      </c>
      <c r="D9" s="9">
        <f>KO!J12</f>
        <v>19.25284835</v>
      </c>
      <c r="E9" s="10">
        <f>KO!J16*C30</f>
        <v>350.7262682</v>
      </c>
      <c r="F9" s="10">
        <f>KO!J12*KO!J16*C30</f>
        <v>6752.479654</v>
      </c>
      <c r="G9" s="10">
        <f t="shared" si="1"/>
        <v>8770.963538</v>
      </c>
      <c r="H9" s="10">
        <f>IFERROR(__xludf.DUMMYFUNCTION("IF(B9="""","""",GOOGLEFINANCE(B9))*C30"),455.56706099999997)</f>
        <v>455.567061</v>
      </c>
      <c r="I9" s="12">
        <f t="shared" si="2"/>
        <v>0.2989248376</v>
      </c>
      <c r="J9" s="10">
        <f t="shared" si="3"/>
        <v>2018.483884</v>
      </c>
      <c r="K9" s="9" t="str">
        <f>IF(B9="","",VLOOKUP(B9,DB!$A$4:$G$1906,7,0))</f>
        <v>Stock</v>
      </c>
      <c r="L9" s="9" t="str">
        <f>IF(B9="","",VLOOKUP(B9,DB!$A$4:$G$1906,6,0))</f>
        <v>Non-Alcoholic beverages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9" t="str">
        <f>VISC11!C2</f>
        <v>VISC11</v>
      </c>
      <c r="C10" s="9" t="str">
        <f>VISC11!F2</f>
        <v>Vinci Shopping Centers FI Imobiliario</v>
      </c>
      <c r="D10" s="9">
        <f>VISC11!J12</f>
        <v>42</v>
      </c>
      <c r="E10" s="10">
        <f>VISC11!J16</f>
        <v>107.6307143</v>
      </c>
      <c r="F10" s="10">
        <f>VISC11!J12*VISC11!J16</f>
        <v>4520.49</v>
      </c>
      <c r="G10" s="10">
        <f t="shared" si="1"/>
        <v>4318.02</v>
      </c>
      <c r="H10" s="10">
        <f>IFERROR(__xludf.DUMMYFUNCTION("IF(B10="""","""",GOOGLEFINANCE(B10))"),102.81)</f>
        <v>102.81</v>
      </c>
      <c r="I10" s="12">
        <f t="shared" si="2"/>
        <v>-0.0447893923</v>
      </c>
      <c r="J10" s="10">
        <f t="shared" si="3"/>
        <v>-202.47</v>
      </c>
      <c r="K10" s="9" t="str">
        <f>IF(B10="","",VLOOKUP(B10,DB!$A$4:$G$1906,7,0))</f>
        <v>Fii</v>
      </c>
      <c r="L10" s="9" t="str">
        <f>IF(B10="","",VLOOKUP(B10,DB!$A$4:$G$1906,6,0))</f>
        <v>BRL Trust DTVM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9" t="str">
        <f>KNRI11!C2</f>
        <v>KNRI11</v>
      </c>
      <c r="C11" s="9" t="str">
        <f>KNRI11!F2</f>
        <v>Kinea Renda Imobiliaria FII</v>
      </c>
      <c r="D11" s="9">
        <f>KNRI11!J12</f>
        <v>30</v>
      </c>
      <c r="E11" s="10">
        <f>KNRI11!J16</f>
        <v>145.71</v>
      </c>
      <c r="F11" s="10">
        <f>KNRI11!J12*KNRI11!J16</f>
        <v>4371.3</v>
      </c>
      <c r="G11" s="10">
        <f t="shared" si="1"/>
        <v>4687.2</v>
      </c>
      <c r="H11" s="10">
        <f>IFERROR(__xludf.DUMMYFUNCTION("IF(B11="""","""",GOOGLEFINANCE(B11))"),156.24)</f>
        <v>156.24</v>
      </c>
      <c r="I11" s="12">
        <f t="shared" si="2"/>
        <v>0.07226683138</v>
      </c>
      <c r="J11" s="10">
        <f t="shared" si="3"/>
        <v>315.9</v>
      </c>
      <c r="K11" s="9" t="str">
        <f>IF(B11="","",VLOOKUP(B11,DB!$A$4:$G$1906,7,0))</f>
        <v>Fii</v>
      </c>
      <c r="L11" s="9" t="str">
        <f>IF(B11="","",VLOOKUP(B11,DB!$A$4:$G$1906,6,0))</f>
        <v>INTRAG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 t="str">
        <f>HGRU11!C2</f>
        <v>HGRU11</v>
      </c>
      <c r="C12" s="9" t="str">
        <f>HGRU11!F2</f>
        <v>Patria Renda Urbana FII RL Unica</v>
      </c>
      <c r="D12" s="9">
        <f>HGRU11!J12</f>
        <v>39</v>
      </c>
      <c r="E12" s="10">
        <f>HGRU11!J16</f>
        <v>124.4105128</v>
      </c>
      <c r="F12" s="10">
        <f>HGRU11!J12*HGRU11!J16</f>
        <v>4852.01</v>
      </c>
      <c r="G12" s="10">
        <f t="shared" si="1"/>
        <v>4438.98</v>
      </c>
      <c r="H12" s="10">
        <f>IFERROR(__xludf.DUMMYFUNCTION("IF(B12="""","""",GOOGLEFINANCE(B12))"),113.82)</f>
        <v>113.82</v>
      </c>
      <c r="I12" s="12">
        <f t="shared" si="2"/>
        <v>-0.08512554591</v>
      </c>
      <c r="J12" s="10">
        <f t="shared" si="3"/>
        <v>-413.03</v>
      </c>
      <c r="K12" s="9" t="str">
        <f>IF(B12="","",VLOOKUP(B12,DB!$A$4:$G$1906,7,0))</f>
        <v>Fii</v>
      </c>
      <c r="L12" s="9" t="str">
        <f>IF(B12="","",VLOOKUP(B12,DB!$A$4:$G$1906,6,0))</f>
        <v>CREDIT SUISSE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9" t="str">
        <f>HGLG11!C2</f>
        <v>HGLG11</v>
      </c>
      <c r="C13" s="9" t="str">
        <f>HGLG11!F2</f>
        <v>Patria Log FII RL</v>
      </c>
      <c r="D13" s="9">
        <f>HGLG11!J12</f>
        <v>28</v>
      </c>
      <c r="E13" s="10">
        <f>HGLG11!J16</f>
        <v>157.9421429</v>
      </c>
      <c r="F13" s="10">
        <f>HGLG11!J12*HGLG11!J16</f>
        <v>4422.38</v>
      </c>
      <c r="G13" s="10">
        <f t="shared" si="1"/>
        <v>4140.08</v>
      </c>
      <c r="H13" s="10">
        <f>IFERROR(__xludf.DUMMYFUNCTION("IF(B13="""","""",GOOGLEFINANCE(B13))"),147.86)</f>
        <v>147.86</v>
      </c>
      <c r="I13" s="12">
        <f t="shared" si="2"/>
        <v>-0.06383440591</v>
      </c>
      <c r="J13" s="10">
        <f t="shared" si="3"/>
        <v>-282.3</v>
      </c>
      <c r="K13" s="9" t="str">
        <f>IF(B13="","",VLOOKUP(B13,DB!$A$4:$G$1906,7,0))</f>
        <v>Fii</v>
      </c>
      <c r="L13" s="9" t="str">
        <f>IF(B13="","",VLOOKUP(B13,DB!$A$4:$G$1906,6,0))</f>
        <v>CREDIT SUISSE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9" t="str">
        <f>B3SA3!C2</f>
        <v>B3SA3</v>
      </c>
      <c r="C14" s="9" t="str">
        <f>B3SA3!F2</f>
        <v>B3 SA Brasil Bolsa Balcao</v>
      </c>
      <c r="D14" s="9">
        <f>B3SA3!J12</f>
        <v>386</v>
      </c>
      <c r="E14" s="10">
        <f>B3SA3!J16</f>
        <v>12.48432642</v>
      </c>
      <c r="F14" s="10">
        <f>B3SA3!J12*B3SA3!J16</f>
        <v>4818.95</v>
      </c>
      <c r="G14" s="10">
        <f t="shared" si="1"/>
        <v>6932.56</v>
      </c>
      <c r="H14" s="10">
        <f>IFERROR(__xludf.DUMMYFUNCTION("IF(B14="""","""",GOOGLEFINANCE(B14))"),17.96)</f>
        <v>17.96</v>
      </c>
      <c r="I14" s="12">
        <f t="shared" si="2"/>
        <v>0.4386038452</v>
      </c>
      <c r="J14" s="10">
        <f t="shared" si="3"/>
        <v>2113.61</v>
      </c>
      <c r="K14" s="9" t="str">
        <f>IF(B14="","",VLOOKUP(B14,DB!$A$4:$G$1906,7,0))</f>
        <v>Ação</v>
      </c>
      <c r="L14" s="9" t="str">
        <f>IF(B14="","",VLOOKUP(B14,DB!$A$4:$G$1906,6,0))</f>
        <v>Serviços Financeiros Diversos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 t="str">
        <f>WEGE3!C2</f>
        <v>WEGE3</v>
      </c>
      <c r="C15" s="9" t="str">
        <f>WEGE3!F2</f>
        <v>Weg Cedear</v>
      </c>
      <c r="D15" s="9">
        <f>WEGE3!J12</f>
        <v>126</v>
      </c>
      <c r="E15" s="10">
        <f>WEGE3!J16</f>
        <v>42.02738095</v>
      </c>
      <c r="F15" s="10">
        <f>WEGE3!J12*WEGE3!J16</f>
        <v>5295.45</v>
      </c>
      <c r="G15" s="10">
        <f t="shared" si="1"/>
        <v>6434.82</v>
      </c>
      <c r="H15" s="10">
        <f>IFERROR(__xludf.DUMMYFUNCTION("IF(B15="""","""",GOOGLEFINANCE(""BVMF:""&amp;B15))"),51.07)</f>
        <v>51.07</v>
      </c>
      <c r="I15" s="12">
        <f t="shared" si="2"/>
        <v>0.2151601847</v>
      </c>
      <c r="J15" s="10">
        <f t="shared" si="3"/>
        <v>1139.37</v>
      </c>
      <c r="K15" s="9" t="str">
        <f>IF(B15="","",VLOOKUP(B15,DB!$A$4:$G$1906,7,0))</f>
        <v>Ação</v>
      </c>
      <c r="L15" s="9" t="str">
        <f>IF(B15="","",VLOOKUP(B15,DB!$A$4:$G$1906,6,0))</f>
        <v>Motores, Compressores e Outros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 t="str">
        <f>TAEE3!C2</f>
        <v>TAEE3</v>
      </c>
      <c r="C16" s="9" t="str">
        <f>TAEE3!F2</f>
        <v>Transmissora Alianca de Enrga Eltrca S/A</v>
      </c>
      <c r="D16" s="9">
        <f>TAEE3!J12</f>
        <v>406</v>
      </c>
      <c r="E16" s="10">
        <f>TAEE3!J16</f>
        <v>12.20465517</v>
      </c>
      <c r="F16" s="10">
        <f>TAEE3!J12*TAEE3!J16</f>
        <v>4955.09</v>
      </c>
      <c r="G16" s="10">
        <f t="shared" si="1"/>
        <v>5440.4</v>
      </c>
      <c r="H16" s="10">
        <f>IFERROR(__xludf.DUMMYFUNCTION("IF(B16="""","""",GOOGLEFINANCE(B16))"),13.4)</f>
        <v>13.4</v>
      </c>
      <c r="I16" s="12">
        <f t="shared" si="2"/>
        <v>0.09794171246</v>
      </c>
      <c r="J16" s="10">
        <f t="shared" si="3"/>
        <v>485.31</v>
      </c>
      <c r="K16" s="9" t="str">
        <f>IF(B16="","",VLOOKUP(B16,DB!$A$4:$G$1906,7,0))</f>
        <v>Ação</v>
      </c>
      <c r="L16" s="9" t="str">
        <f>IF(B16="","",VLOOKUP(B16,DB!$A$4:$G$1906,6,0))</f>
        <v>Energia Elétrica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9" t="str">
        <f>PSSA3!C2</f>
        <v>PSSA3</v>
      </c>
      <c r="C17" s="9" t="str">
        <f>PSSA3!F2</f>
        <v>Porto Seguro SA</v>
      </c>
      <c r="D17" s="9">
        <f>PSSA3!J12</f>
        <v>120</v>
      </c>
      <c r="E17" s="10">
        <f>PSSA3!J16</f>
        <v>33.16125</v>
      </c>
      <c r="F17" s="10">
        <f>PSSA3!J12*PSSA3!J16</f>
        <v>3979.35</v>
      </c>
      <c r="G17" s="10">
        <f t="shared" si="1"/>
        <v>5650.8</v>
      </c>
      <c r="H17" s="10">
        <f>IFERROR(__xludf.DUMMYFUNCTION("IF(B17="""","""",GOOGLEFINANCE(B17))"),47.09)</f>
        <v>47.09</v>
      </c>
      <c r="I17" s="12">
        <f t="shared" si="2"/>
        <v>0.4200309096</v>
      </c>
      <c r="J17" s="10">
        <f t="shared" si="3"/>
        <v>1671.45</v>
      </c>
      <c r="K17" s="9" t="str">
        <f>IF(B17="","",VLOOKUP(B17,DB!$A$4:$G$1906,7,0))</f>
        <v>Ação</v>
      </c>
      <c r="L17" s="9" t="str">
        <f>IF(B17="","",VLOOKUP(B17,DB!$A$4:$G$1906,6,0))</f>
        <v>Seguradoras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" t="str">
        <f>ITUB3!C2</f>
        <v>ITUB3</v>
      </c>
      <c r="C18" s="9" t="str">
        <f>ITUB3!F2</f>
        <v>Itau Unibanco Holding Cedear</v>
      </c>
      <c r="D18" s="9">
        <f>ITUB3!J12</f>
        <v>142</v>
      </c>
      <c r="E18" s="10">
        <f>ITUB3!J16</f>
        <v>29.20971831</v>
      </c>
      <c r="F18" s="10">
        <f>ITUB3!J12*ITUB3!J16</f>
        <v>4147.78</v>
      </c>
      <c r="G18" s="10">
        <f t="shared" si="1"/>
        <v>6544.78</v>
      </c>
      <c r="H18" s="10">
        <f>IFERROR(__xludf.DUMMYFUNCTION("IF(B18="""","""",GOOGLEFINANCE(""BVMF:""&amp;B18))"),46.09)</f>
        <v>46.09</v>
      </c>
      <c r="I18" s="12">
        <f t="shared" si="2"/>
        <v>0.5778995029</v>
      </c>
      <c r="J18" s="10">
        <f t="shared" si="3"/>
        <v>2397</v>
      </c>
      <c r="K18" s="9" t="str">
        <f>IF(B18="","",VLOOKUP(B18,DB!$A$4:$G$1906,7,0))</f>
        <v>Ação</v>
      </c>
      <c r="L18" s="9" t="str">
        <f>IF(B18="","",VLOOKUP(B18,DB!$A$4:$G$1906,6,0))</f>
        <v>Bancos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" t="str">
        <f>HYPE3!C2</f>
        <v>HYPE3</v>
      </c>
      <c r="C19" s="9" t="str">
        <f>HYPE3!F2</f>
        <v>Hypera SA</v>
      </c>
      <c r="D19" s="9">
        <f>HYPE3!J12</f>
        <v>211</v>
      </c>
      <c r="E19" s="10">
        <f>HYPE3!J16</f>
        <v>25.6135545</v>
      </c>
      <c r="F19" s="10">
        <f>HYPE3!J12*HYPE3!J16</f>
        <v>5404.46</v>
      </c>
      <c r="G19" s="10">
        <f t="shared" si="1"/>
        <v>5175.83</v>
      </c>
      <c r="H19" s="10">
        <f>IFERROR(__xludf.DUMMYFUNCTION("IF(B19="""","""",GOOGLEFINANCE(B19))"),24.53)</f>
        <v>24.53</v>
      </c>
      <c r="I19" s="12">
        <f t="shared" si="2"/>
        <v>-0.04230394896</v>
      </c>
      <c r="J19" s="10">
        <f t="shared" si="3"/>
        <v>-228.63</v>
      </c>
      <c r="K19" s="9" t="str">
        <f>IF(B19="","",VLOOKUP(B19,DB!$A$4:$G$1906,7,0))</f>
        <v>Ação</v>
      </c>
      <c r="L19" s="9" t="str">
        <f>IF(B19="","",VLOOKUP(B19,DB!$A$4:$G$1906,6,0))</f>
        <v>Medicamentos e Outros Produtos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9" t="str">
        <f>EGIE3!C2</f>
        <v>EGIE3</v>
      </c>
      <c r="C20" s="9" t="str">
        <f>EGIE3!F2</f>
        <v>Engie Brasil Energia SA</v>
      </c>
      <c r="D20" s="9">
        <f>EGIE3!J12</f>
        <v>161</v>
      </c>
      <c r="E20" s="10">
        <f>EGIE3!J16</f>
        <v>29.90508075</v>
      </c>
      <c r="F20" s="10">
        <f>EGIE3!J12*EGIE3!J16</f>
        <v>4814.718</v>
      </c>
      <c r="G20" s="10">
        <f t="shared" si="1"/>
        <v>4685.1</v>
      </c>
      <c r="H20" s="10">
        <f>IFERROR(__xludf.DUMMYFUNCTION("IF(B20="""","""",GOOGLEFINANCE(B20))"),29.1)</f>
        <v>29.1</v>
      </c>
      <c r="I20" s="12">
        <f t="shared" si="2"/>
        <v>-0.02692120286</v>
      </c>
      <c r="J20" s="10">
        <f t="shared" si="3"/>
        <v>-129.618</v>
      </c>
      <c r="K20" s="9" t="str">
        <f>IF(B20="","",VLOOKUP(B20,DB!$A$4:$G$1906,7,0))</f>
        <v>Ação</v>
      </c>
      <c r="L20" s="9" t="str">
        <f>IF(B20="","",VLOOKUP(B20,DB!$A$4:$G$1906,6,0))</f>
        <v>Energia Elétrica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9" t="str">
        <f>BBDC3!C2</f>
        <v>BBDC3</v>
      </c>
      <c r="C21" s="9" t="str">
        <f>BBDC3!F2</f>
        <v>Banco Bradesco Cedear</v>
      </c>
      <c r="D21" s="9">
        <f>BBDC3!J12</f>
        <v>376</v>
      </c>
      <c r="E21" s="10">
        <f>BBDC3!J16</f>
        <v>13.60678191</v>
      </c>
      <c r="F21" s="10">
        <f>BBDC3!J12*BBDC3!J16</f>
        <v>5116.15</v>
      </c>
      <c r="G21" s="10">
        <f t="shared" si="1"/>
        <v>5929.52</v>
      </c>
      <c r="H21" s="10">
        <f>IFERROR(__xludf.DUMMYFUNCTION("IF(B21="""","""",GOOGLEFINANCE(""BVMF:""&amp;B21))"),15.77)</f>
        <v>15.77</v>
      </c>
      <c r="I21" s="12">
        <f t="shared" si="2"/>
        <v>0.1589808743</v>
      </c>
      <c r="J21" s="10">
        <f t="shared" si="3"/>
        <v>813.37</v>
      </c>
      <c r="K21" s="9" t="str">
        <f>IF(B21="","",VLOOKUP(B21,DB!$A$4:$G$1906,7,0))</f>
        <v>Ação</v>
      </c>
      <c r="L21" s="9" t="str">
        <f>IF(B21="","",VLOOKUP(B21,DB!$A$4:$G$1906,6,0))</f>
        <v>Bancos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9" t="str">
        <f>ABEV3!C2</f>
        <v>ABEV3</v>
      </c>
      <c r="C22" s="9" t="str">
        <f>ABEV3!F2</f>
        <v>Amebv Cedear</v>
      </c>
      <c r="D22" s="9">
        <f>ABEV3!J12</f>
        <v>378</v>
      </c>
      <c r="E22" s="10">
        <f>ABEV3!J16</f>
        <v>13.28603175</v>
      </c>
      <c r="F22" s="10">
        <f>ABEV3!J12*ABEV3!J16</f>
        <v>5022.12</v>
      </c>
      <c r="G22" s="10">
        <f t="shared" si="1"/>
        <v>5790.96</v>
      </c>
      <c r="H22" s="10">
        <f>IFERROR(__xludf.DUMMYFUNCTION("IF(B22="""","""",GOOGLEFINANCE(""BVMF:""&amp;B22))"),15.32)</f>
        <v>15.32</v>
      </c>
      <c r="I22" s="12">
        <f t="shared" si="2"/>
        <v>0.1530907266</v>
      </c>
      <c r="J22" s="10">
        <f t="shared" si="3"/>
        <v>768.84</v>
      </c>
      <c r="K22" s="9" t="str">
        <f>IF(B22="","",VLOOKUP(B22,DB!$A$4:$G$1906,7,0))</f>
        <v>Ação</v>
      </c>
      <c r="L22" s="9" t="str">
        <f>IF(B22="","",VLOOKUP(B22,DB!$A$4:$G$1906,6,0))</f>
        <v>Cervejas e Refrigerantes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9" t="str">
        <f>BTC!C2</f>
        <v>BTCUSD</v>
      </c>
      <c r="C23" s="9" t="str">
        <f>BTC!F2</f>
        <v>Bitcoin</v>
      </c>
      <c r="D23" s="9">
        <f>BTC!J12</f>
        <v>0.00763929</v>
      </c>
      <c r="E23" s="10">
        <f>BTC!J16</f>
        <v>159254.3613</v>
      </c>
      <c r="F23" s="10">
        <f>BTC!J13</f>
        <v>2667.144006</v>
      </c>
      <c r="G23" s="10">
        <f t="shared" si="1"/>
        <v>3355.454839</v>
      </c>
      <c r="H23" s="10">
        <f>IFERROR(__xludf.DUMMYFUNCTION("IF(B23="""","""",(GOOGLEFINANCE(B23)*C30))"),439236.47862999997)</f>
        <v>439236.4786</v>
      </c>
      <c r="I23" s="12">
        <f t="shared" si="2"/>
        <v>0.2580703673</v>
      </c>
      <c r="J23" s="10">
        <f t="shared" si="3"/>
        <v>688.3108331</v>
      </c>
      <c r="K23" s="9" t="str">
        <f>IF(B23="","",VLOOKUP(B23,DB!$A$4:$G$1906,7,0))</f>
        <v>Criptomoeda</v>
      </c>
      <c r="L23" s="9" t="str">
        <f>IF(B23="","",VLOOKUP(B23,DB!$A$4:$G$1906,6,0))</f>
        <v>Criptos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44" t="str">
        <f>ETH!C2</f>
        <v>ETHUSD</v>
      </c>
      <c r="C24" s="44" t="str">
        <f>ETH!F2</f>
        <v>Ethereum</v>
      </c>
      <c r="D24" s="44">
        <f>ETH!J12</f>
        <v>0.17436968</v>
      </c>
      <c r="E24" s="46">
        <f>ETH!J16</f>
        <v>6284.173965</v>
      </c>
      <c r="F24" s="46">
        <f>ETH!J13</f>
        <v>1976.211774</v>
      </c>
      <c r="G24" s="46">
        <f t="shared" si="1"/>
        <v>2452.611468</v>
      </c>
      <c r="H24" s="46">
        <f>IFERROR(__xludf.DUMMYFUNCTION("IF(B24="""","""",(GOOGLEFINANCE(B24)*C30))"),14065.58449964)</f>
        <v>14065.5845</v>
      </c>
      <c r="I24" s="47">
        <f t="shared" si="2"/>
        <v>0.241067127</v>
      </c>
      <c r="J24" s="46">
        <f t="shared" si="3"/>
        <v>476.3996946</v>
      </c>
      <c r="K24" s="9" t="str">
        <f>IF(B24="","",VLOOKUP(B24,DB!$A$4:$G$1906,7,0))</f>
        <v>Criptomoeda</v>
      </c>
      <c r="L24" s="9" t="str">
        <f>IF(B24="","",VLOOKUP(B24,DB!$A$4:$G$1906,6,0))</f>
        <v>Criptos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9" t="str">
        <f>PAXGOLD!C2</f>
        <v>Pax Gold</v>
      </c>
      <c r="C25" s="9" t="s">
        <v>51</v>
      </c>
      <c r="D25" s="9">
        <f>PAXGOLD!J12</f>
        <v>0.07249708</v>
      </c>
      <c r="E25" s="10">
        <f>PAXGOLD!J16</f>
        <v>26388.53585</v>
      </c>
      <c r="F25" s="45">
        <f>PAXGOLD!J13</f>
        <v>1912.598915</v>
      </c>
      <c r="G25" s="46">
        <f t="shared" si="1"/>
        <v>1968.059382</v>
      </c>
      <c r="H25" s="45">
        <v>27146.74</v>
      </c>
      <c r="I25" s="47">
        <f t="shared" si="2"/>
        <v>0.02899743705</v>
      </c>
      <c r="J25" s="46">
        <f t="shared" si="3"/>
        <v>55.46046664</v>
      </c>
      <c r="K25" s="13" t="s">
        <v>52</v>
      </c>
      <c r="L25" s="13" t="s">
        <v>53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50" t="s">
        <v>21</v>
      </c>
      <c r="C26" s="51"/>
      <c r="D26" s="51"/>
      <c r="E26" s="52"/>
      <c r="F26" s="53">
        <f>SUM(F4:F24)</f>
        <v>102492.3641</v>
      </c>
      <c r="G26" s="53">
        <f>SUM(G4:G25)</f>
        <v>125423.5718</v>
      </c>
      <c r="H26" s="54" t="s">
        <v>54</v>
      </c>
      <c r="I26" s="55">
        <f>AVERAGE(I4:I22)</f>
        <v>0.1837372639</v>
      </c>
      <c r="J26" s="53">
        <f>SUM(J4:J24)</f>
        <v>20963.14829</v>
      </c>
      <c r="K26" s="54" t="s">
        <v>54</v>
      </c>
      <c r="L26" s="54" t="s">
        <v>54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7" t="s">
        <v>55</v>
      </c>
      <c r="C30" s="56">
        <f>IFERROR(__xludf.DUMMYFUNCTION("GOOGLEFINANCE(""CURRENCY:USDBRL"")"),5.1880999999999995)</f>
        <v>5.1881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4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4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</sheetData>
  <mergeCells count="3">
    <mergeCell ref="B2:L2"/>
    <mergeCell ref="M2:M3"/>
    <mergeCell ref="B26:E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17.38"/>
    <col customWidth="1" min="3" max="3" width="18.0"/>
    <col customWidth="1" min="4" max="5" width="17.75"/>
    <col customWidth="1" min="6" max="6" width="15.88"/>
    <col customWidth="1" min="7" max="7" width="12.88"/>
    <col customWidth="1" min="8" max="8" width="12.13"/>
  </cols>
  <sheetData>
    <row r="1" ht="10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2" t="s">
        <v>0</v>
      </c>
      <c r="C2" s="4"/>
      <c r="D2" s="4"/>
      <c r="E2" s="4"/>
      <c r="F2" s="4"/>
      <c r="G2" s="4"/>
      <c r="H2" s="5"/>
      <c r="I2" s="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9" t="str">
        <f>'Tesouro Selic 2027'!C2</f>
        <v>TS2027</v>
      </c>
      <c r="C4" s="9" t="str">
        <f>'Tesouro Selic 2027'!E2</f>
        <v>Tesouro Selic 2027</v>
      </c>
      <c r="D4" s="9" t="s">
        <v>18</v>
      </c>
      <c r="E4" s="10">
        <f>'Tesouro Selic 2027'!J3</f>
        <v>29884.98</v>
      </c>
      <c r="F4" s="10">
        <f>'Tesouro Selic 2027'!J4</f>
        <v>38297.07</v>
      </c>
      <c r="G4" s="10">
        <f>'Tesouro Selic 2027'!J5</f>
        <v>8412.09</v>
      </c>
      <c r="H4" s="12">
        <f>'Tesouro Selic 2027'!J6</f>
        <v>0.2814822028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/>
      <c r="B5" s="9" t="str">
        <f>'Tesouro Renda+ 2055'!C2</f>
        <v>TR+2055</v>
      </c>
      <c r="C5" s="9" t="str">
        <f>'Tesouro Renda+ 2055'!E2</f>
        <v>Tesouro Renda+ 2055</v>
      </c>
      <c r="D5" s="9" t="s">
        <v>18</v>
      </c>
      <c r="E5" s="10">
        <f>'Tesouro Renda+ 2055'!J3</f>
        <v>6449.86</v>
      </c>
      <c r="F5" s="10">
        <f>'Tesouro Renda+ 2055'!J4</f>
        <v>6154.86</v>
      </c>
      <c r="G5" s="10">
        <f>'Tesouro Renda+ 2055'!J5</f>
        <v>-295</v>
      </c>
      <c r="H5" s="12">
        <f>'Tesouro Renda+ 2055'!J6</f>
        <v>-0.04573742686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/>
      <c r="B6" s="9" t="str">
        <f>'Tesouro Educa+ 2043'!C2</f>
        <v>TE+2043</v>
      </c>
      <c r="C6" s="9" t="str">
        <f>'Tesouro Educa+ 2043'!E2</f>
        <v>Tesouro Educa+ 2043</v>
      </c>
      <c r="D6" s="9" t="s">
        <v>18</v>
      </c>
      <c r="E6" s="10">
        <f>'Tesouro Educa+ 2043'!J3</f>
        <v>3794.23</v>
      </c>
      <c r="F6" s="10">
        <f>'Tesouro Educa+ 2043'!J4</f>
        <v>3786.53</v>
      </c>
      <c r="G6" s="10">
        <f>'Tesouro Educa+ 2043'!J5</f>
        <v>-7.7</v>
      </c>
      <c r="H6" s="12">
        <f>'Tesouro Educa+ 2043'!J6</f>
        <v>-0.002029397269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/>
      <c r="B7" s="9" t="str">
        <f>'Tesouro Selic 2028'!C2</f>
        <v>TS2028</v>
      </c>
      <c r="C7" s="9" t="str">
        <f>'Tesouro Selic 2028'!E2</f>
        <v>Tesouro Selic 2028</v>
      </c>
      <c r="D7" s="9" t="s">
        <v>18</v>
      </c>
      <c r="E7" s="10">
        <f>'Tesouro Selic 2028'!J3</f>
        <v>67343.78</v>
      </c>
      <c r="F7" s="10">
        <f>'Tesouro Selic 2028'!J4</f>
        <v>75978.29</v>
      </c>
      <c r="G7" s="10">
        <f>'Tesouro Selic 2028'!J5</f>
        <v>8634.51</v>
      </c>
      <c r="H7" s="12">
        <f>'Tesouro Selic 2028'!J6</f>
        <v>0.1282154046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/>
      <c r="B8" s="9" t="str">
        <f>'Tesouro Selic 2031'!C2</f>
        <v>TS2031</v>
      </c>
      <c r="C8" s="9" t="str">
        <f>'Tesouro Selic 2031'!E2</f>
        <v>Tesouro Selic 2031</v>
      </c>
      <c r="D8" s="9" t="str">
        <f>IF(B8="","",VLOOKUP(B8,DB!$A$4:$G$1906,7,0))</f>
        <v>Tesouro Direto</v>
      </c>
      <c r="E8" s="10">
        <f>'Tesouro Selic 2031'!J3</f>
        <v>50546.38</v>
      </c>
      <c r="F8" s="10">
        <f>'Tesouro Selic 2031'!J4</f>
        <v>52794.56</v>
      </c>
      <c r="G8" s="10">
        <f>'Tesouro Selic 2031'!J5</f>
        <v>2248.18</v>
      </c>
      <c r="H8" s="12">
        <f>'Tesouro Selic 2031'!J6</f>
        <v>0.04447756694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/>
      <c r="B9" s="14" t="s">
        <v>21</v>
      </c>
      <c r="C9" s="15"/>
      <c r="D9" s="16"/>
      <c r="E9" s="18">
        <f t="shared" ref="E9:G9" si="1">SUM(E4:E8)</f>
        <v>158019.23</v>
      </c>
      <c r="F9" s="18">
        <f t="shared" si="1"/>
        <v>177011.31</v>
      </c>
      <c r="G9" s="18">
        <f t="shared" si="1"/>
        <v>18992.08</v>
      </c>
      <c r="H9" s="20">
        <f>SUM(H4:H8)/COUNT(H4:H8)</f>
        <v>0.08128167004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</sheetData>
  <mergeCells count="3">
    <mergeCell ref="B2:H2"/>
    <mergeCell ref="I2:I3"/>
    <mergeCell ref="B9:D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23</v>
      </c>
      <c r="D2" s="3" t="s">
        <v>24</v>
      </c>
      <c r="E2" s="5"/>
      <c r="F2" s="21" t="str">
        <f>IFERROR(__xludf.DUMMYFUNCTION("IF(C2="""","""",GOOGLEFINANCE(C2,""Name""))"),"Itau Unibanco Holding Cedear")</f>
        <v>Itau Unibanco Holding Cedear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30"/>
      <c r="C4" s="31"/>
      <c r="D4" s="31"/>
      <c r="E4" s="31"/>
      <c r="F4" s="31"/>
      <c r="G4" s="31">
        <f>E4*D4</f>
        <v>0</v>
      </c>
      <c r="H4" s="32" t="str">
        <f>IFERROR(__xludf.DUMMYFUNCTION("IF(C2="""","""",SPARKLINE(GOOGLEFINANCE(C2,""price"",TODAY()-K4,TODAY())))"),"")</f>
        <v/>
      </c>
      <c r="K4" s="33">
        <v>30.0</v>
      </c>
    </row>
    <row r="5">
      <c r="B5" s="30"/>
      <c r="C5" s="31"/>
      <c r="D5" s="31"/>
      <c r="E5" s="31"/>
      <c r="F5" s="31"/>
      <c r="G5" s="31"/>
      <c r="K5" s="34"/>
    </row>
    <row r="6">
      <c r="B6" s="30"/>
      <c r="C6" s="31"/>
      <c r="D6" s="31"/>
      <c r="E6" s="31"/>
      <c r="F6" s="31"/>
      <c r="G6" s="31"/>
      <c r="H6" s="15"/>
      <c r="I6" s="15"/>
      <c r="J6" s="15"/>
      <c r="K6" s="34"/>
    </row>
    <row r="7">
      <c r="B7" s="30"/>
      <c r="C7" s="31"/>
      <c r="D7" s="31"/>
      <c r="E7" s="31"/>
      <c r="F7" s="31"/>
      <c r="G7" s="31"/>
      <c r="K7" s="35"/>
    </row>
    <row r="8">
      <c r="B8" s="30"/>
      <c r="C8" s="31"/>
      <c r="D8" s="31"/>
      <c r="E8" s="31"/>
      <c r="F8" s="31"/>
      <c r="G8" s="31"/>
      <c r="K8" s="36"/>
    </row>
    <row r="9">
      <c r="B9" s="30"/>
      <c r="C9" s="31"/>
      <c r="D9" s="31"/>
      <c r="E9" s="31"/>
      <c r="F9" s="31"/>
      <c r="G9" s="31"/>
      <c r="K9" s="36"/>
    </row>
    <row r="10">
      <c r="B10" s="30"/>
      <c r="C10" s="31"/>
      <c r="D10" s="31"/>
      <c r="E10" s="31"/>
      <c r="F10" s="31"/>
      <c r="G10" s="31"/>
      <c r="I10" s="25" t="s">
        <v>32</v>
      </c>
      <c r="J10" s="32">
        <f>SUMIFS(D4:D21,C4:C21,"COMPRA")</f>
        <v>0</v>
      </c>
      <c r="K10" s="36"/>
    </row>
    <row r="11">
      <c r="B11" s="30"/>
      <c r="C11" s="31"/>
      <c r="D11" s="31"/>
      <c r="E11" s="31"/>
      <c r="F11" s="31"/>
      <c r="G11" s="31"/>
      <c r="I11" s="25" t="s">
        <v>33</v>
      </c>
      <c r="J11" s="32">
        <f>SUMIFS(D4:D21,C4:C21,"VENDA")</f>
        <v>0</v>
      </c>
      <c r="K11" s="36"/>
    </row>
    <row r="12">
      <c r="B12" s="30"/>
      <c r="C12" s="31"/>
      <c r="D12" s="31"/>
      <c r="E12" s="31"/>
      <c r="F12" s="31"/>
      <c r="G12" s="31"/>
      <c r="I12" s="25" t="s">
        <v>34</v>
      </c>
      <c r="J12" s="32">
        <f>J10-J11</f>
        <v>0</v>
      </c>
      <c r="K12" s="36"/>
    </row>
    <row r="13">
      <c r="B13" s="30"/>
      <c r="C13" s="31"/>
      <c r="D13" s="31"/>
      <c r="E13" s="31"/>
      <c r="F13" s="31"/>
      <c r="G13" s="31"/>
      <c r="I13" s="25" t="s">
        <v>35</v>
      </c>
      <c r="J13" s="37">
        <f>SUMIFS(G4:G21,C4:C21,"COMPRA")</f>
        <v>0</v>
      </c>
      <c r="K13" s="36"/>
    </row>
    <row r="14">
      <c r="B14" s="30"/>
      <c r="C14" s="31"/>
      <c r="D14" s="31"/>
      <c r="E14" s="31"/>
      <c r="F14" s="31"/>
      <c r="G14" s="31"/>
      <c r="I14" s="25" t="s">
        <v>36</v>
      </c>
      <c r="J14" s="37">
        <f>SUMIFS(E4:E21,C4:C21,"VENDA")</f>
        <v>0</v>
      </c>
      <c r="K14" s="36"/>
    </row>
    <row r="15">
      <c r="B15" s="30"/>
      <c r="C15" s="31"/>
      <c r="D15" s="31"/>
      <c r="E15" s="31"/>
      <c r="F15" s="31"/>
      <c r="G15" s="31"/>
      <c r="I15" s="7" t="s">
        <v>37</v>
      </c>
      <c r="J15" s="37">
        <f>SUM(F4:F21)</f>
        <v>0</v>
      </c>
      <c r="K15" s="36"/>
    </row>
    <row r="16">
      <c r="B16" s="30"/>
      <c r="C16" s="31"/>
      <c r="D16" s="31"/>
      <c r="E16" s="31"/>
      <c r="F16" s="31"/>
      <c r="G16" s="31"/>
      <c r="I16" s="25" t="s">
        <v>10</v>
      </c>
      <c r="J16" s="32" t="str">
        <f>IF(J10&lt;&gt;0,((J13+J15)/J10),"")</f>
        <v/>
      </c>
      <c r="K16" s="36"/>
    </row>
    <row r="17">
      <c r="B17" s="30"/>
      <c r="C17" s="31"/>
      <c r="D17" s="31"/>
      <c r="E17" s="31"/>
      <c r="F17" s="31"/>
      <c r="G17" s="31"/>
      <c r="K17" s="36"/>
    </row>
    <row r="18">
      <c r="B18" s="30"/>
      <c r="C18" s="31"/>
      <c r="D18" s="31"/>
      <c r="E18" s="31"/>
      <c r="F18" s="31"/>
      <c r="G18" s="31"/>
      <c r="K18" s="36"/>
    </row>
    <row r="19">
      <c r="B19" s="30"/>
      <c r="C19" s="31"/>
      <c r="D19" s="31"/>
      <c r="E19" s="31"/>
      <c r="F19" s="31"/>
      <c r="G19" s="31"/>
      <c r="K19" s="36"/>
    </row>
    <row r="20">
      <c r="B20" s="30"/>
      <c r="C20" s="31"/>
      <c r="D20" s="31"/>
      <c r="E20" s="31"/>
      <c r="F20" s="31"/>
      <c r="G20" s="31"/>
      <c r="K20" s="36"/>
    </row>
    <row r="21">
      <c r="B21" s="38"/>
      <c r="C21" s="39"/>
      <c r="D21" s="39"/>
      <c r="E21" s="39"/>
      <c r="F21" s="39"/>
      <c r="G21" s="39"/>
      <c r="H21" s="40"/>
      <c r="I21" s="40"/>
      <c r="J21" s="40"/>
      <c r="K21" s="41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16.5"/>
    <col customWidth="1" min="4" max="4" width="19.88"/>
    <col customWidth="1" min="5" max="5" width="13.38"/>
    <col customWidth="1" min="7" max="7" width="19.0"/>
    <col customWidth="1" min="8" max="8" width="17.63"/>
    <col customWidth="1" min="11" max="11" width="16.13"/>
  </cols>
  <sheetData>
    <row r="1" ht="10.5" customHeigh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2"/>
      <c r="B2" s="2" t="s">
        <v>38</v>
      </c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3"/>
      <c r="B3" s="7" t="s">
        <v>39</v>
      </c>
      <c r="C3" s="7" t="s">
        <v>2</v>
      </c>
      <c r="D3" s="7" t="s">
        <v>40</v>
      </c>
      <c r="E3" s="7" t="s">
        <v>41</v>
      </c>
      <c r="F3" s="7" t="s">
        <v>9</v>
      </c>
      <c r="G3" s="7" t="s">
        <v>42</v>
      </c>
      <c r="H3" s="7" t="s">
        <v>43</v>
      </c>
      <c r="I3" s="7" t="s">
        <v>44</v>
      </c>
      <c r="J3" s="7" t="s">
        <v>45</v>
      </c>
      <c r="K3" s="7" t="s">
        <v>46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" t="s">
        <v>47</v>
      </c>
      <c r="C4" s="13" t="s">
        <v>48</v>
      </c>
      <c r="D4" s="10">
        <v>511.7545753548097</v>
      </c>
      <c r="E4" s="45">
        <v>313.87</v>
      </c>
      <c r="F4" s="9">
        <v>2.4414499999999997</v>
      </c>
      <c r="G4" s="10">
        <f t="shared" ref="G4:G6" si="1">F4*D4</f>
        <v>1249.423208</v>
      </c>
      <c r="H4" s="10">
        <f t="shared" ref="H4:H6" si="2">F4*E4</f>
        <v>766.2979115</v>
      </c>
      <c r="I4" s="45">
        <v>5.27</v>
      </c>
      <c r="J4" s="10">
        <f t="shared" ref="J4:J6" si="3">(E4-D4)*F4-I4</f>
        <v>-488.3952965</v>
      </c>
      <c r="K4" s="48">
        <v>44718.0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3" t="s">
        <v>47</v>
      </c>
      <c r="C5" s="13" t="s">
        <v>49</v>
      </c>
      <c r="D5" s="10">
        <v>12975.981841515422</v>
      </c>
      <c r="E5" s="45">
        <v>9125.77</v>
      </c>
      <c r="F5" s="9">
        <v>0.14231757</v>
      </c>
      <c r="G5" s="10">
        <f t="shared" si="1"/>
        <v>1846.710204</v>
      </c>
      <c r="H5" s="10">
        <f t="shared" si="2"/>
        <v>1298.757411</v>
      </c>
      <c r="I5" s="49">
        <v>8.98</v>
      </c>
      <c r="J5" s="10">
        <f t="shared" si="3"/>
        <v>-556.9327933</v>
      </c>
      <c r="K5" s="48">
        <v>44718.0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 t="s">
        <v>47</v>
      </c>
      <c r="C6" s="13" t="s">
        <v>50</v>
      </c>
      <c r="D6" s="10">
        <v>196789.07124996453</v>
      </c>
      <c r="E6" s="45">
        <v>150000.0</v>
      </c>
      <c r="F6" s="9">
        <v>0.009169380000000001</v>
      </c>
      <c r="G6" s="10">
        <f t="shared" si="1"/>
        <v>1804.433774</v>
      </c>
      <c r="H6" s="10">
        <f t="shared" si="2"/>
        <v>1375.407</v>
      </c>
      <c r="I6" s="49">
        <v>9.71</v>
      </c>
      <c r="J6" s="10">
        <f t="shared" si="3"/>
        <v>-438.7367741</v>
      </c>
      <c r="K6" s="48">
        <v>44718.0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9"/>
      <c r="C7" s="9"/>
      <c r="D7" s="9"/>
      <c r="E7" s="9"/>
      <c r="F7" s="9"/>
      <c r="G7" s="9"/>
      <c r="H7" s="9"/>
      <c r="I7" s="9"/>
      <c r="J7" s="9"/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9"/>
      <c r="C8" s="9"/>
      <c r="D8" s="9"/>
      <c r="E8" s="9"/>
      <c r="F8" s="9"/>
      <c r="G8" s="9"/>
      <c r="H8" s="9"/>
      <c r="I8" s="9"/>
      <c r="J8" s="9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9"/>
      <c r="C9" s="9"/>
      <c r="D9" s="9"/>
      <c r="E9" s="9"/>
      <c r="F9" s="9"/>
      <c r="G9" s="9"/>
      <c r="H9" s="9"/>
      <c r="I9" s="9"/>
      <c r="J9" s="9"/>
      <c r="K9" s="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9"/>
      <c r="C10" s="9"/>
      <c r="D10" s="9"/>
      <c r="E10" s="9"/>
      <c r="F10" s="9"/>
      <c r="G10" s="9"/>
      <c r="H10" s="9"/>
      <c r="I10" s="9"/>
      <c r="J10" s="9"/>
      <c r="K10" s="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9"/>
      <c r="C11" s="9"/>
      <c r="D11" s="9"/>
      <c r="E11" s="9"/>
      <c r="F11" s="9"/>
      <c r="G11" s="9"/>
      <c r="H11" s="9"/>
      <c r="I11" s="9"/>
      <c r="J11" s="9"/>
      <c r="K11" s="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/>
      <c r="C12" s="9"/>
      <c r="D12" s="9"/>
      <c r="E12" s="9"/>
      <c r="F12" s="9"/>
      <c r="G12" s="9"/>
      <c r="H12" s="9"/>
      <c r="I12" s="9"/>
      <c r="J12" s="9"/>
      <c r="K12" s="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9"/>
      <c r="C13" s="9"/>
      <c r="D13" s="9"/>
      <c r="E13" s="9"/>
      <c r="F13" s="9"/>
      <c r="G13" s="9"/>
      <c r="H13" s="9"/>
      <c r="I13" s="9"/>
      <c r="J13" s="9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9"/>
      <c r="C14" s="9"/>
      <c r="D14" s="9"/>
      <c r="E14" s="9"/>
      <c r="F14" s="9"/>
      <c r="G14" s="9"/>
      <c r="H14" s="9"/>
      <c r="I14" s="9"/>
      <c r="J14" s="9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/>
      <c r="C15" s="9"/>
      <c r="D15" s="9"/>
      <c r="E15" s="9"/>
      <c r="F15" s="9"/>
      <c r="G15" s="9"/>
      <c r="H15" s="9"/>
      <c r="I15" s="9"/>
      <c r="J15" s="9"/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/>
      <c r="C16" s="9"/>
      <c r="D16" s="9"/>
      <c r="E16" s="9"/>
      <c r="F16" s="9"/>
      <c r="G16" s="9"/>
      <c r="H16" s="9"/>
      <c r="I16" s="9"/>
      <c r="J16" s="9"/>
      <c r="K16" s="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9"/>
      <c r="C17" s="9"/>
      <c r="D17" s="9"/>
      <c r="E17" s="9"/>
      <c r="F17" s="9"/>
      <c r="G17" s="9"/>
      <c r="H17" s="9"/>
      <c r="I17" s="9"/>
      <c r="J17" s="9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"/>
      <c r="C18" s="9"/>
      <c r="D18" s="9"/>
      <c r="E18" s="9"/>
      <c r="F18" s="9"/>
      <c r="G18" s="9"/>
      <c r="H18" s="9"/>
      <c r="I18" s="9"/>
      <c r="J18" s="9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"/>
      <c r="C19" s="9"/>
      <c r="D19" s="9"/>
      <c r="E19" s="9"/>
      <c r="F19" s="9"/>
      <c r="G19" s="9"/>
      <c r="H19" s="9"/>
      <c r="I19" s="9"/>
      <c r="J19" s="9"/>
      <c r="K19" s="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9"/>
      <c r="C20" s="9"/>
      <c r="D20" s="9"/>
      <c r="E20" s="9"/>
      <c r="F20" s="9"/>
      <c r="G20" s="9"/>
      <c r="H20" s="9"/>
      <c r="I20" s="9"/>
      <c r="J20" s="9"/>
      <c r="K20" s="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9"/>
      <c r="C21" s="9"/>
      <c r="D21" s="9"/>
      <c r="E21" s="9"/>
      <c r="F21" s="9"/>
      <c r="G21" s="9"/>
      <c r="H21" s="9"/>
      <c r="I21" s="9"/>
      <c r="J21" s="9"/>
      <c r="K21" s="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9"/>
      <c r="C22" s="9"/>
      <c r="D22" s="9"/>
      <c r="E22" s="9"/>
      <c r="F22" s="9"/>
      <c r="G22" s="9"/>
      <c r="H22" s="9"/>
      <c r="I22" s="9"/>
      <c r="J22" s="9"/>
      <c r="K22" s="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9"/>
      <c r="C23" s="9"/>
      <c r="D23" s="9"/>
      <c r="E23" s="9"/>
      <c r="F23" s="9"/>
      <c r="G23" s="9"/>
      <c r="H23" s="9"/>
      <c r="I23" s="9"/>
      <c r="J23" s="9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9"/>
      <c r="C24" s="9"/>
      <c r="D24" s="9"/>
      <c r="E24" s="9"/>
      <c r="F24" s="9"/>
      <c r="G24" s="9"/>
      <c r="H24" s="9"/>
      <c r="I24" s="9"/>
      <c r="J24" s="9"/>
      <c r="K24" s="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9"/>
      <c r="C25" s="9"/>
      <c r="D25" s="9"/>
      <c r="E25" s="9"/>
      <c r="F25" s="9"/>
      <c r="G25" s="9"/>
      <c r="H25" s="9"/>
      <c r="I25" s="9"/>
      <c r="J25" s="9"/>
      <c r="K25" s="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9"/>
      <c r="C26" s="9"/>
      <c r="D26" s="9"/>
      <c r="E26" s="9"/>
      <c r="F26" s="9"/>
      <c r="G26" s="9"/>
      <c r="H26" s="9"/>
      <c r="I26" s="9"/>
      <c r="J26" s="9"/>
      <c r="K26" s="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"/>
      <c r="C27" s="9"/>
      <c r="D27" s="9"/>
      <c r="E27" s="9"/>
      <c r="F27" s="9"/>
      <c r="G27" s="9"/>
      <c r="H27" s="9"/>
      <c r="I27" s="9"/>
      <c r="J27" s="9"/>
      <c r="K27" s="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9"/>
      <c r="C28" s="9"/>
      <c r="D28" s="9"/>
      <c r="E28" s="9"/>
      <c r="F28" s="9"/>
      <c r="G28" s="9"/>
      <c r="H28" s="9"/>
      <c r="I28" s="9"/>
      <c r="J28" s="9"/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9"/>
      <c r="C29" s="9"/>
      <c r="D29" s="9"/>
      <c r="E29" s="9"/>
      <c r="F29" s="9"/>
      <c r="G29" s="9"/>
      <c r="H29" s="9"/>
      <c r="I29" s="9"/>
      <c r="J29" s="9"/>
      <c r="K29" s="9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9"/>
      <c r="C30" s="9"/>
      <c r="D30" s="9"/>
      <c r="E30" s="9"/>
      <c r="F30" s="9"/>
      <c r="G30" s="9"/>
      <c r="H30" s="9"/>
      <c r="I30" s="9"/>
      <c r="J30" s="9"/>
      <c r="K30" s="9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9"/>
      <c r="C31" s="9"/>
      <c r="D31" s="9"/>
      <c r="E31" s="9"/>
      <c r="F31" s="9"/>
      <c r="G31" s="9"/>
      <c r="H31" s="9"/>
      <c r="I31" s="9"/>
      <c r="J31" s="9"/>
      <c r="K31" s="9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9"/>
      <c r="C32" s="9"/>
      <c r="D32" s="9"/>
      <c r="E32" s="9"/>
      <c r="F32" s="9"/>
      <c r="G32" s="9"/>
      <c r="H32" s="9"/>
      <c r="I32" s="9"/>
      <c r="J32" s="9"/>
      <c r="K32" s="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9"/>
      <c r="C33" s="9"/>
      <c r="D33" s="9"/>
      <c r="E33" s="9"/>
      <c r="F33" s="9"/>
      <c r="G33" s="9"/>
      <c r="H33" s="9"/>
      <c r="I33" s="9"/>
      <c r="J33" s="9"/>
      <c r="K33" s="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9"/>
      <c r="C34" s="9"/>
      <c r="D34" s="9"/>
      <c r="E34" s="9"/>
      <c r="F34" s="9"/>
      <c r="G34" s="9"/>
      <c r="H34" s="9"/>
      <c r="I34" s="9"/>
      <c r="J34" s="9"/>
      <c r="K34" s="9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9"/>
      <c r="C35" s="9"/>
      <c r="D35" s="9"/>
      <c r="E35" s="9"/>
      <c r="F35" s="9"/>
      <c r="G35" s="9"/>
      <c r="H35" s="9"/>
      <c r="I35" s="9"/>
      <c r="J35" s="9"/>
      <c r="K35" s="9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9"/>
      <c r="C36" s="9"/>
      <c r="D36" s="9"/>
      <c r="E36" s="9"/>
      <c r="F36" s="9"/>
      <c r="G36" s="9"/>
      <c r="H36" s="9"/>
      <c r="I36" s="9"/>
      <c r="J36" s="9"/>
      <c r="K36" s="9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9"/>
      <c r="C37" s="9"/>
      <c r="D37" s="9"/>
      <c r="E37" s="9"/>
      <c r="F37" s="9"/>
      <c r="G37" s="9"/>
      <c r="H37" s="9"/>
      <c r="I37" s="9"/>
      <c r="J37" s="9"/>
      <c r="K37" s="9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9"/>
      <c r="C38" s="9"/>
      <c r="D38" s="9"/>
      <c r="E38" s="9"/>
      <c r="F38" s="9"/>
      <c r="G38" s="9"/>
      <c r="H38" s="9"/>
      <c r="I38" s="9"/>
      <c r="J38" s="9"/>
      <c r="K38" s="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9"/>
      <c r="C39" s="9"/>
      <c r="D39" s="9"/>
      <c r="E39" s="9"/>
      <c r="F39" s="9"/>
      <c r="G39" s="9"/>
      <c r="H39" s="9"/>
      <c r="I39" s="9"/>
      <c r="J39" s="9"/>
      <c r="K39" s="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9"/>
      <c r="C40" s="9"/>
      <c r="D40" s="9"/>
      <c r="E40" s="9"/>
      <c r="F40" s="9"/>
      <c r="G40" s="9"/>
      <c r="H40" s="9"/>
      <c r="I40" s="9"/>
      <c r="J40" s="9"/>
      <c r="K40" s="9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9"/>
      <c r="C41" s="9"/>
      <c r="D41" s="9"/>
      <c r="E41" s="9"/>
      <c r="F41" s="9"/>
      <c r="G41" s="9"/>
      <c r="H41" s="9"/>
      <c r="I41" s="9"/>
      <c r="J41" s="9"/>
      <c r="K41" s="9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9"/>
      <c r="C42" s="9"/>
      <c r="D42" s="9"/>
      <c r="E42" s="9"/>
      <c r="F42" s="9"/>
      <c r="G42" s="9"/>
      <c r="H42" s="9"/>
      <c r="I42" s="9"/>
      <c r="J42" s="9"/>
      <c r="K42" s="9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9"/>
      <c r="C43" s="9"/>
      <c r="D43" s="9"/>
      <c r="E43" s="9"/>
      <c r="F43" s="9"/>
      <c r="G43" s="9"/>
      <c r="H43" s="9"/>
      <c r="I43" s="9"/>
      <c r="J43" s="9"/>
      <c r="K43" s="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9"/>
      <c r="C44" s="9"/>
      <c r="D44" s="9"/>
      <c r="E44" s="9"/>
      <c r="F44" s="9"/>
      <c r="G44" s="9"/>
      <c r="H44" s="9"/>
      <c r="I44" s="9"/>
      <c r="J44" s="9"/>
      <c r="K44" s="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9"/>
      <c r="C45" s="9"/>
      <c r="D45" s="9"/>
      <c r="E45" s="9"/>
      <c r="F45" s="9"/>
      <c r="G45" s="9"/>
      <c r="H45" s="9"/>
      <c r="I45" s="9"/>
      <c r="J45" s="9"/>
      <c r="K45" s="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9"/>
      <c r="C46" s="9"/>
      <c r="D46" s="9"/>
      <c r="E46" s="9"/>
      <c r="F46" s="9"/>
      <c r="G46" s="9"/>
      <c r="H46" s="9"/>
      <c r="I46" s="9"/>
      <c r="J46" s="9"/>
      <c r="K46" s="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9"/>
      <c r="C47" s="9"/>
      <c r="D47" s="9"/>
      <c r="E47" s="9"/>
      <c r="F47" s="9"/>
      <c r="G47" s="9"/>
      <c r="H47" s="9"/>
      <c r="I47" s="9"/>
      <c r="J47" s="9"/>
      <c r="K47" s="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9"/>
      <c r="C48" s="9"/>
      <c r="D48" s="9"/>
      <c r="E48" s="9"/>
      <c r="F48" s="9"/>
      <c r="G48" s="9"/>
      <c r="H48" s="9"/>
      <c r="I48" s="9"/>
      <c r="J48" s="9"/>
      <c r="K48" s="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9"/>
      <c r="C49" s="9"/>
      <c r="D49" s="9"/>
      <c r="E49" s="9"/>
      <c r="F49" s="9"/>
      <c r="G49" s="9"/>
      <c r="H49" s="9"/>
      <c r="I49" s="9"/>
      <c r="J49" s="9"/>
      <c r="K49" s="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9"/>
      <c r="C50" s="9"/>
      <c r="D50" s="9"/>
      <c r="E50" s="9"/>
      <c r="F50" s="9"/>
      <c r="G50" s="9"/>
      <c r="H50" s="9"/>
      <c r="I50" s="9"/>
      <c r="J50" s="9"/>
      <c r="K50" s="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9"/>
      <c r="C51" s="9"/>
      <c r="D51" s="9"/>
      <c r="E51" s="9"/>
      <c r="F51" s="9"/>
      <c r="G51" s="9"/>
      <c r="H51" s="9"/>
      <c r="I51" s="9"/>
      <c r="J51" s="9"/>
      <c r="K51" s="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9"/>
      <c r="C52" s="9"/>
      <c r="D52" s="9"/>
      <c r="E52" s="9"/>
      <c r="F52" s="9"/>
      <c r="G52" s="9"/>
      <c r="H52" s="9"/>
      <c r="I52" s="9"/>
      <c r="J52" s="9"/>
      <c r="K52" s="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9"/>
      <c r="C53" s="9"/>
      <c r="D53" s="9"/>
      <c r="E53" s="9"/>
      <c r="F53" s="9"/>
      <c r="G53" s="9"/>
      <c r="H53" s="9"/>
      <c r="I53" s="9"/>
      <c r="J53" s="9"/>
      <c r="K53" s="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9"/>
      <c r="C54" s="9"/>
      <c r="D54" s="9"/>
      <c r="E54" s="9"/>
      <c r="F54" s="9"/>
      <c r="G54" s="9"/>
      <c r="H54" s="9"/>
      <c r="I54" s="9"/>
      <c r="J54" s="9"/>
      <c r="K54" s="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9"/>
      <c r="C55" s="9"/>
      <c r="D55" s="9"/>
      <c r="E55" s="9"/>
      <c r="F55" s="9"/>
      <c r="G55" s="9"/>
      <c r="H55" s="9"/>
      <c r="I55" s="9"/>
      <c r="J55" s="9"/>
      <c r="K55" s="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9"/>
      <c r="C56" s="9"/>
      <c r="D56" s="9"/>
      <c r="E56" s="9"/>
      <c r="F56" s="9"/>
      <c r="G56" s="9"/>
      <c r="H56" s="9"/>
      <c r="I56" s="9"/>
      <c r="J56" s="9"/>
      <c r="K56" s="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9"/>
      <c r="C57" s="9"/>
      <c r="D57" s="9"/>
      <c r="E57" s="9"/>
      <c r="F57" s="9"/>
      <c r="G57" s="9"/>
      <c r="H57" s="9"/>
      <c r="I57" s="9"/>
      <c r="J57" s="9"/>
      <c r="K57" s="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9"/>
      <c r="C58" s="9"/>
      <c r="D58" s="9"/>
      <c r="E58" s="9"/>
      <c r="F58" s="9"/>
      <c r="G58" s="9"/>
      <c r="H58" s="9"/>
      <c r="I58" s="9"/>
      <c r="J58" s="9"/>
      <c r="K58" s="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9"/>
      <c r="C59" s="9"/>
      <c r="D59" s="9"/>
      <c r="E59" s="9"/>
      <c r="F59" s="9"/>
      <c r="G59" s="9"/>
      <c r="H59" s="9"/>
      <c r="I59" s="9"/>
      <c r="J59" s="9"/>
      <c r="K59" s="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9"/>
      <c r="C60" s="9"/>
      <c r="D60" s="9"/>
      <c r="E60" s="9"/>
      <c r="F60" s="9"/>
      <c r="G60" s="9"/>
      <c r="H60" s="9"/>
      <c r="I60" s="9"/>
      <c r="J60" s="9"/>
      <c r="K60" s="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9"/>
      <c r="C61" s="9"/>
      <c r="D61" s="9"/>
      <c r="E61" s="9"/>
      <c r="F61" s="9"/>
      <c r="G61" s="9"/>
      <c r="H61" s="9"/>
      <c r="I61" s="9"/>
      <c r="J61" s="9"/>
      <c r="K61" s="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9"/>
      <c r="C62" s="9"/>
      <c r="D62" s="9"/>
      <c r="E62" s="9"/>
      <c r="F62" s="9"/>
      <c r="G62" s="9"/>
      <c r="H62" s="9"/>
      <c r="I62" s="9"/>
      <c r="J62" s="9"/>
      <c r="K62" s="9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9"/>
      <c r="C63" s="9"/>
      <c r="D63" s="9"/>
      <c r="E63" s="9"/>
      <c r="F63" s="9"/>
      <c r="G63" s="9"/>
      <c r="H63" s="9"/>
      <c r="I63" s="9"/>
      <c r="J63" s="9"/>
      <c r="K63" s="9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9"/>
      <c r="C64" s="9"/>
      <c r="D64" s="9"/>
      <c r="E64" s="9"/>
      <c r="F64" s="9"/>
      <c r="G64" s="9"/>
      <c r="H64" s="9"/>
      <c r="I64" s="9"/>
      <c r="J64" s="9"/>
      <c r="K64" s="9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9"/>
      <c r="C65" s="9"/>
      <c r="D65" s="9"/>
      <c r="E65" s="9"/>
      <c r="F65" s="9"/>
      <c r="G65" s="9"/>
      <c r="H65" s="9"/>
      <c r="I65" s="9"/>
      <c r="J65" s="9"/>
      <c r="K65" s="9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9"/>
      <c r="C66" s="9"/>
      <c r="D66" s="9"/>
      <c r="E66" s="9"/>
      <c r="F66" s="9"/>
      <c r="G66" s="9"/>
      <c r="H66" s="9"/>
      <c r="I66" s="9"/>
      <c r="J66" s="9"/>
      <c r="K66" s="9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9"/>
      <c r="C67" s="9"/>
      <c r="D67" s="9"/>
      <c r="E67" s="9"/>
      <c r="F67" s="9"/>
      <c r="G67" s="9"/>
      <c r="H67" s="9"/>
      <c r="I67" s="9"/>
      <c r="J67" s="9"/>
      <c r="K67" s="9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9"/>
      <c r="C68" s="9"/>
      <c r="D68" s="9"/>
      <c r="E68" s="9"/>
      <c r="F68" s="9"/>
      <c r="G68" s="9"/>
      <c r="H68" s="9"/>
      <c r="I68" s="9"/>
      <c r="J68" s="9"/>
      <c r="K68" s="9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9"/>
      <c r="C69" s="9"/>
      <c r="D69" s="9"/>
      <c r="E69" s="9"/>
      <c r="F69" s="9"/>
      <c r="G69" s="9"/>
      <c r="H69" s="9"/>
      <c r="I69" s="9"/>
      <c r="J69" s="9"/>
      <c r="K69" s="9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9"/>
      <c r="C70" s="9"/>
      <c r="D70" s="9"/>
      <c r="E70" s="9"/>
      <c r="F70" s="9"/>
      <c r="G70" s="9"/>
      <c r="H70" s="9"/>
      <c r="I70" s="9"/>
      <c r="J70" s="9"/>
      <c r="K70" s="9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9"/>
      <c r="C71" s="9"/>
      <c r="D71" s="9"/>
      <c r="E71" s="9"/>
      <c r="F71" s="9"/>
      <c r="G71" s="9"/>
      <c r="H71" s="9"/>
      <c r="I71" s="9"/>
      <c r="J71" s="9"/>
      <c r="K71" s="9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9"/>
      <c r="C72" s="9"/>
      <c r="D72" s="9"/>
      <c r="E72" s="9"/>
      <c r="F72" s="9"/>
      <c r="G72" s="9"/>
      <c r="H72" s="9"/>
      <c r="I72" s="9"/>
      <c r="J72" s="9"/>
      <c r="K72" s="9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9"/>
      <c r="C73" s="9"/>
      <c r="D73" s="9"/>
      <c r="E73" s="9"/>
      <c r="F73" s="9"/>
      <c r="G73" s="9"/>
      <c r="H73" s="9"/>
      <c r="I73" s="9"/>
      <c r="J73" s="9"/>
      <c r="K73" s="9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9"/>
      <c r="C74" s="9"/>
      <c r="D74" s="9"/>
      <c r="E74" s="9"/>
      <c r="F74" s="9"/>
      <c r="G74" s="9"/>
      <c r="H74" s="9"/>
      <c r="I74" s="9"/>
      <c r="J74" s="9"/>
      <c r="K74" s="9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9"/>
      <c r="C75" s="9"/>
      <c r="D75" s="9"/>
      <c r="E75" s="9"/>
      <c r="F75" s="9"/>
      <c r="G75" s="9"/>
      <c r="H75" s="9"/>
      <c r="I75" s="9"/>
      <c r="J75" s="9"/>
      <c r="K75" s="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9"/>
      <c r="C76" s="9"/>
      <c r="D76" s="9"/>
      <c r="E76" s="9"/>
      <c r="F76" s="9"/>
      <c r="G76" s="9"/>
      <c r="H76" s="9"/>
      <c r="I76" s="9"/>
      <c r="J76" s="9"/>
      <c r="K76" s="9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9"/>
      <c r="C77" s="9"/>
      <c r="D77" s="9"/>
      <c r="E77" s="9"/>
      <c r="F77" s="9"/>
      <c r="G77" s="9"/>
      <c r="H77" s="9"/>
      <c r="I77" s="9"/>
      <c r="J77" s="9"/>
      <c r="K77" s="9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9"/>
      <c r="C78" s="9"/>
      <c r="D78" s="9"/>
      <c r="E78" s="9"/>
      <c r="F78" s="9"/>
      <c r="G78" s="9"/>
      <c r="H78" s="9"/>
      <c r="I78" s="9"/>
      <c r="J78" s="9"/>
      <c r="K78" s="9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9"/>
      <c r="C79" s="9"/>
      <c r="D79" s="9"/>
      <c r="E79" s="9"/>
      <c r="F79" s="9"/>
      <c r="G79" s="9"/>
      <c r="H79" s="9"/>
      <c r="I79" s="9"/>
      <c r="J79" s="9"/>
      <c r="K79" s="9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9"/>
      <c r="C80" s="9"/>
      <c r="D80" s="9"/>
      <c r="E80" s="9"/>
      <c r="F80" s="9"/>
      <c r="G80" s="9"/>
      <c r="H80" s="9"/>
      <c r="I80" s="9"/>
      <c r="J80" s="9"/>
      <c r="K80" s="9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9"/>
      <c r="C81" s="9"/>
      <c r="D81" s="9"/>
      <c r="E81" s="9"/>
      <c r="F81" s="9"/>
      <c r="G81" s="9"/>
      <c r="H81" s="9"/>
      <c r="I81" s="9"/>
      <c r="J81" s="9"/>
      <c r="K81" s="9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9"/>
      <c r="C82" s="9"/>
      <c r="D82" s="9"/>
      <c r="E82" s="9"/>
      <c r="F82" s="9"/>
      <c r="G82" s="9"/>
      <c r="H82" s="9"/>
      <c r="I82" s="9"/>
      <c r="J82" s="9"/>
      <c r="K82" s="9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9"/>
      <c r="C83" s="9"/>
      <c r="D83" s="9"/>
      <c r="E83" s="9"/>
      <c r="F83" s="9"/>
      <c r="G83" s="9"/>
      <c r="H83" s="9"/>
      <c r="I83" s="9"/>
      <c r="J83" s="9"/>
      <c r="K83" s="9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9"/>
      <c r="C84" s="9"/>
      <c r="D84" s="9"/>
      <c r="E84" s="9"/>
      <c r="F84" s="9"/>
      <c r="G84" s="9"/>
      <c r="H84" s="9"/>
      <c r="I84" s="9"/>
      <c r="J84" s="9"/>
      <c r="K84" s="9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9"/>
      <c r="C85" s="9"/>
      <c r="D85" s="9"/>
      <c r="E85" s="9"/>
      <c r="F85" s="9"/>
      <c r="G85" s="9"/>
      <c r="H85" s="9"/>
      <c r="I85" s="9"/>
      <c r="J85" s="9"/>
      <c r="K85" s="9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9"/>
      <c r="C86" s="9"/>
      <c r="D86" s="9"/>
      <c r="E86" s="9"/>
      <c r="F86" s="9"/>
      <c r="G86" s="9"/>
      <c r="H86" s="9"/>
      <c r="I86" s="9"/>
      <c r="J86" s="9"/>
      <c r="K86" s="9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9"/>
      <c r="C87" s="9"/>
      <c r="D87" s="9"/>
      <c r="E87" s="9"/>
      <c r="F87" s="9"/>
      <c r="G87" s="9"/>
      <c r="H87" s="9"/>
      <c r="I87" s="9"/>
      <c r="J87" s="9"/>
      <c r="K87" s="9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9"/>
      <c r="C88" s="9"/>
      <c r="D88" s="9"/>
      <c r="E88" s="9"/>
      <c r="F88" s="9"/>
      <c r="G88" s="9"/>
      <c r="H88" s="9"/>
      <c r="I88" s="9"/>
      <c r="J88" s="9"/>
      <c r="K88" s="9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9"/>
      <c r="C89" s="9"/>
      <c r="D89" s="9"/>
      <c r="E89" s="9"/>
      <c r="F89" s="9"/>
      <c r="G89" s="9"/>
      <c r="H89" s="9"/>
      <c r="I89" s="9"/>
      <c r="J89" s="9"/>
      <c r="K89" s="9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9"/>
      <c r="C90" s="9"/>
      <c r="D90" s="9"/>
      <c r="E90" s="9"/>
      <c r="F90" s="9"/>
      <c r="G90" s="9"/>
      <c r="H90" s="9"/>
      <c r="I90" s="9"/>
      <c r="J90" s="9"/>
      <c r="K90" s="9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9"/>
      <c r="C91" s="9"/>
      <c r="D91" s="9"/>
      <c r="E91" s="9"/>
      <c r="F91" s="9"/>
      <c r="G91" s="9"/>
      <c r="H91" s="9"/>
      <c r="I91" s="9"/>
      <c r="J91" s="9"/>
      <c r="K91" s="9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9"/>
      <c r="C92" s="9"/>
      <c r="D92" s="9"/>
      <c r="E92" s="9"/>
      <c r="F92" s="9"/>
      <c r="G92" s="9"/>
      <c r="H92" s="9"/>
      <c r="I92" s="9"/>
      <c r="J92" s="9"/>
      <c r="K92" s="9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9"/>
      <c r="C93" s="9"/>
      <c r="D93" s="9"/>
      <c r="E93" s="9"/>
      <c r="F93" s="9"/>
      <c r="G93" s="9"/>
      <c r="H93" s="9"/>
      <c r="I93" s="9"/>
      <c r="J93" s="9"/>
      <c r="K93" s="9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9"/>
      <c r="C94" s="9"/>
      <c r="D94" s="9"/>
      <c r="E94" s="9"/>
      <c r="F94" s="9"/>
      <c r="G94" s="9"/>
      <c r="H94" s="9"/>
      <c r="I94" s="9"/>
      <c r="J94" s="9"/>
      <c r="K94" s="9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9"/>
      <c r="C95" s="9"/>
      <c r="D95" s="9"/>
      <c r="E95" s="9"/>
      <c r="F95" s="9"/>
      <c r="G95" s="9"/>
      <c r="H95" s="9"/>
      <c r="I95" s="9"/>
      <c r="J95" s="9"/>
      <c r="K95" s="9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9"/>
      <c r="C96" s="9"/>
      <c r="D96" s="9"/>
      <c r="E96" s="9"/>
      <c r="F96" s="9"/>
      <c r="G96" s="9"/>
      <c r="H96" s="9"/>
      <c r="I96" s="9"/>
      <c r="J96" s="9"/>
      <c r="K96" s="9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9"/>
      <c r="C97" s="9"/>
      <c r="D97" s="9"/>
      <c r="E97" s="9"/>
      <c r="F97" s="9"/>
      <c r="G97" s="9"/>
      <c r="H97" s="9"/>
      <c r="I97" s="9"/>
      <c r="J97" s="9"/>
      <c r="K97" s="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9"/>
      <c r="C98" s="9"/>
      <c r="D98" s="9"/>
      <c r="E98" s="9"/>
      <c r="F98" s="9"/>
      <c r="G98" s="9"/>
      <c r="H98" s="9"/>
      <c r="I98" s="9"/>
      <c r="J98" s="9"/>
      <c r="K98" s="9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9"/>
      <c r="C99" s="9"/>
      <c r="D99" s="9"/>
      <c r="E99" s="9"/>
      <c r="F99" s="9"/>
      <c r="G99" s="9"/>
      <c r="H99" s="9"/>
      <c r="I99" s="9"/>
      <c r="J99" s="9"/>
      <c r="K99" s="9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B2:K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13.5"/>
    <col customWidth="1" min="3" max="3" width="18.88"/>
    <col customWidth="1" min="4" max="4" width="20.63"/>
    <col customWidth="1" min="5" max="5" width="14.25"/>
    <col customWidth="1" min="6" max="6" width="13.63"/>
    <col customWidth="1" min="7" max="7" width="17.88"/>
    <col customWidth="1" min="8" max="8" width="7.38"/>
    <col customWidth="1" min="9" max="9" width="4.25"/>
  </cols>
  <sheetData>
    <row r="1" ht="9.7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</row>
    <row r="2">
      <c r="A2" s="94"/>
      <c r="B2" s="95" t="s">
        <v>64</v>
      </c>
      <c r="C2" s="4"/>
      <c r="D2" s="4"/>
      <c r="E2" s="4"/>
      <c r="F2" s="4"/>
      <c r="G2" s="4"/>
      <c r="H2" s="96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</row>
    <row r="3">
      <c r="A3" s="94"/>
      <c r="B3" s="97" t="s">
        <v>65</v>
      </c>
      <c r="C3" s="7" t="s">
        <v>66</v>
      </c>
      <c r="D3" s="7" t="s">
        <v>67</v>
      </c>
      <c r="E3" s="7" t="s">
        <v>68</v>
      </c>
      <c r="F3" s="7" t="s">
        <v>69</v>
      </c>
      <c r="G3" s="7" t="s">
        <v>70</v>
      </c>
      <c r="H3" s="98" t="s">
        <v>71</v>
      </c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</row>
    <row r="4">
      <c r="A4" s="99"/>
      <c r="B4" s="100">
        <v>44621.0</v>
      </c>
      <c r="C4" s="56">
        <v>5607.59</v>
      </c>
      <c r="D4" s="56">
        <v>0.0</v>
      </c>
      <c r="E4" s="101">
        <f t="shared" ref="E4:E31" si="1">C4-D4</f>
        <v>5607.59</v>
      </c>
      <c r="F4" s="56">
        <f>62107.17+E4</f>
        <v>67714.76</v>
      </c>
      <c r="G4" s="101">
        <f>F4-62107.17</f>
        <v>5607.59</v>
      </c>
      <c r="H4" s="102">
        <f>G4/F4</f>
        <v>0.08281193052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</row>
    <row r="5">
      <c r="A5" s="94"/>
      <c r="B5" s="100">
        <v>44652.0</v>
      </c>
      <c r="C5" s="56">
        <v>4000.0</v>
      </c>
      <c r="D5" s="56">
        <f>12769+946</f>
        <v>13715</v>
      </c>
      <c r="E5" s="101">
        <f t="shared" si="1"/>
        <v>-9715</v>
      </c>
      <c r="F5" s="101">
        <f t="shared" ref="F5:F7" si="2">F4+E5</f>
        <v>57999.76</v>
      </c>
      <c r="G5" s="101">
        <f t="shared" ref="G5:G33" si="3">F5-F4</f>
        <v>-9715</v>
      </c>
      <c r="H5" s="102">
        <f t="shared" ref="H5:H33" si="4">G5/F4</f>
        <v>-0.1434694592</v>
      </c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</row>
    <row r="6">
      <c r="A6" s="94"/>
      <c r="B6" s="100">
        <v>44682.0</v>
      </c>
      <c r="C6" s="56">
        <v>0.0</v>
      </c>
      <c r="D6" s="56">
        <v>9812.0</v>
      </c>
      <c r="E6" s="101">
        <f t="shared" si="1"/>
        <v>-9812</v>
      </c>
      <c r="F6" s="101">
        <f t="shared" si="2"/>
        <v>48187.76</v>
      </c>
      <c r="G6" s="101">
        <f t="shared" si="3"/>
        <v>-9812</v>
      </c>
      <c r="H6" s="102">
        <f t="shared" si="4"/>
        <v>-0.1691731138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</row>
    <row r="7">
      <c r="A7" s="94"/>
      <c r="B7" s="100">
        <v>44713.0</v>
      </c>
      <c r="C7" s="56">
        <v>0.0</v>
      </c>
      <c r="D7" s="56">
        <f>1484.06+4515.55</f>
        <v>5999.61</v>
      </c>
      <c r="E7" s="101">
        <f t="shared" si="1"/>
        <v>-5999.61</v>
      </c>
      <c r="F7" s="101">
        <f t="shared" si="2"/>
        <v>42188.15</v>
      </c>
      <c r="G7" s="101">
        <f t="shared" si="3"/>
        <v>-5999.61</v>
      </c>
      <c r="H7" s="102">
        <f t="shared" si="4"/>
        <v>-0.1245048535</v>
      </c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</row>
    <row r="8">
      <c r="A8" s="94"/>
      <c r="B8" s="100">
        <v>44743.0</v>
      </c>
      <c r="C8" s="56">
        <v>8935.5</v>
      </c>
      <c r="D8" s="56">
        <v>1500.0</v>
      </c>
      <c r="E8" s="101">
        <f t="shared" si="1"/>
        <v>7435.5</v>
      </c>
      <c r="F8" s="101">
        <v>49518.77</v>
      </c>
      <c r="G8" s="101">
        <f t="shared" si="3"/>
        <v>7330.62</v>
      </c>
      <c r="H8" s="102">
        <f t="shared" si="4"/>
        <v>0.1737601673</v>
      </c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</row>
    <row r="9">
      <c r="A9" s="94"/>
      <c r="B9" s="100">
        <v>44774.0</v>
      </c>
      <c r="C9" s="56">
        <v>0.0</v>
      </c>
      <c r="D9" s="56">
        <v>500.0</v>
      </c>
      <c r="E9" s="101">
        <f t="shared" si="1"/>
        <v>-500</v>
      </c>
      <c r="F9" s="56">
        <f>42137.81+6729.22</f>
        <v>48867.03</v>
      </c>
      <c r="G9" s="101">
        <f t="shared" si="3"/>
        <v>-651.74</v>
      </c>
      <c r="H9" s="102">
        <f t="shared" si="4"/>
        <v>-0.01316147392</v>
      </c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</row>
    <row r="10">
      <c r="A10" s="94"/>
      <c r="B10" s="100">
        <v>44805.0</v>
      </c>
      <c r="C10" s="56">
        <v>7050.0</v>
      </c>
      <c r="D10" s="56">
        <v>846.0</v>
      </c>
      <c r="E10" s="101">
        <f t="shared" si="1"/>
        <v>6204</v>
      </c>
      <c r="F10" s="56">
        <v>56110.88</v>
      </c>
      <c r="G10" s="101">
        <f t="shared" si="3"/>
        <v>7243.85</v>
      </c>
      <c r="H10" s="102">
        <f t="shared" si="4"/>
        <v>0.1482359374</v>
      </c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</row>
    <row r="11">
      <c r="A11" s="94"/>
      <c r="B11" s="100">
        <v>44927.0</v>
      </c>
      <c r="C11" s="56">
        <v>6301.0</v>
      </c>
      <c r="D11" s="56">
        <v>0.0</v>
      </c>
      <c r="E11" s="101">
        <f t="shared" si="1"/>
        <v>6301</v>
      </c>
      <c r="F11" s="56">
        <f>10387.24+51310.66        </f>
        <v>61697.9</v>
      </c>
      <c r="G11" s="101">
        <f t="shared" si="3"/>
        <v>5587.02</v>
      </c>
      <c r="H11" s="102">
        <f t="shared" si="4"/>
        <v>0.09957106358</v>
      </c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</row>
    <row r="12">
      <c r="A12" s="94"/>
      <c r="B12" s="100">
        <v>44958.0</v>
      </c>
      <c r="C12" s="103">
        <v>0.0</v>
      </c>
      <c r="D12" s="103">
        <f>1332.87+899.47</f>
        <v>2232.34</v>
      </c>
      <c r="E12" s="101">
        <f t="shared" si="1"/>
        <v>-2232.34</v>
      </c>
      <c r="F12" s="56">
        <f>61697.9+E12</f>
        <v>59465.56</v>
      </c>
      <c r="G12" s="101">
        <f t="shared" si="3"/>
        <v>-2232.34</v>
      </c>
      <c r="H12" s="102">
        <f t="shared" si="4"/>
        <v>-0.03618178252</v>
      </c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</row>
    <row r="13">
      <c r="A13" s="94"/>
      <c r="B13" s="100">
        <v>44986.0</v>
      </c>
      <c r="C13" s="103">
        <v>4000.0</v>
      </c>
      <c r="D13" s="103">
        <v>0.0</v>
      </c>
      <c r="E13" s="101">
        <f t="shared" si="1"/>
        <v>4000</v>
      </c>
      <c r="F13" s="101">
        <f>F12+E13</f>
        <v>63465.56</v>
      </c>
      <c r="G13" s="101">
        <f t="shared" si="3"/>
        <v>4000</v>
      </c>
      <c r="H13" s="102">
        <f t="shared" si="4"/>
        <v>0.0672658258</v>
      </c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</row>
    <row r="14">
      <c r="A14" s="94"/>
      <c r="B14" s="100">
        <v>45047.0</v>
      </c>
      <c r="C14" s="103">
        <v>0.0</v>
      </c>
      <c r="D14" s="103">
        <v>0.0</v>
      </c>
      <c r="E14" s="101">
        <f t="shared" si="1"/>
        <v>0</v>
      </c>
      <c r="F14" s="101">
        <f>67000</f>
        <v>67000</v>
      </c>
      <c r="G14" s="101">
        <f t="shared" si="3"/>
        <v>3534.44</v>
      </c>
      <c r="H14" s="102">
        <f t="shared" si="4"/>
        <v>0.05569067696</v>
      </c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</row>
    <row r="15">
      <c r="A15" s="94"/>
      <c r="B15" s="104">
        <v>45139.0</v>
      </c>
      <c r="C15" s="101">
        <v>0.0</v>
      </c>
      <c r="D15" s="101">
        <f>5620+22243.59</f>
        <v>27863.59</v>
      </c>
      <c r="E15" s="101">
        <f t="shared" si="1"/>
        <v>-27863.59</v>
      </c>
      <c r="F15" s="101">
        <f>14986.38+40857.9        </f>
        <v>55844.28</v>
      </c>
      <c r="G15" s="101">
        <f t="shared" si="3"/>
        <v>-11155.72</v>
      </c>
      <c r="H15" s="102">
        <f t="shared" si="4"/>
        <v>-0.1665032836</v>
      </c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</row>
    <row r="16">
      <c r="A16" s="94"/>
      <c r="B16" s="105">
        <v>45231.0</v>
      </c>
      <c r="C16" s="101">
        <f>1174.98+6973.65+259.59</f>
        <v>8408.22</v>
      </c>
      <c r="D16" s="101">
        <v>0.0</v>
      </c>
      <c r="E16" s="101">
        <f t="shared" si="1"/>
        <v>8408.22</v>
      </c>
      <c r="F16" s="101">
        <f>19049.055349075+43723.33</f>
        <v>62772.38535</v>
      </c>
      <c r="G16" s="101">
        <f t="shared" si="3"/>
        <v>6928.105349</v>
      </c>
      <c r="H16" s="102">
        <f t="shared" si="4"/>
        <v>0.1240611455</v>
      </c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</row>
    <row r="17">
      <c r="A17" s="94"/>
      <c r="B17" s="104">
        <v>45292.0</v>
      </c>
      <c r="C17" s="101">
        <v>6640.0</v>
      </c>
      <c r="D17" s="56">
        <v>1149.47</v>
      </c>
      <c r="E17" s="101">
        <f t="shared" si="1"/>
        <v>5490.53</v>
      </c>
      <c r="F17" s="56">
        <v>71457.31</v>
      </c>
      <c r="G17" s="101">
        <f t="shared" si="3"/>
        <v>8684.924651</v>
      </c>
      <c r="H17" s="102">
        <f t="shared" si="4"/>
        <v>0.1383558169</v>
      </c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</row>
    <row r="18">
      <c r="A18" s="94"/>
      <c r="B18" s="104">
        <v>45323.0</v>
      </c>
      <c r="C18" s="101">
        <f>2982.99+12015.08</f>
        <v>14998.07</v>
      </c>
      <c r="D18" s="56">
        <v>0.0</v>
      </c>
      <c r="E18" s="101">
        <f t="shared" si="1"/>
        <v>14998.07</v>
      </c>
      <c r="F18" s="101">
        <v>85081.82592073479</v>
      </c>
      <c r="G18" s="101">
        <f t="shared" si="3"/>
        <v>13624.51592</v>
      </c>
      <c r="H18" s="102">
        <f t="shared" si="4"/>
        <v>0.1906665101</v>
      </c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</row>
    <row r="19">
      <c r="A19" s="94"/>
      <c r="B19" s="104">
        <v>45352.0</v>
      </c>
      <c r="C19" s="101">
        <v>4998.95</v>
      </c>
      <c r="D19" s="56">
        <v>35453.76</v>
      </c>
      <c r="E19" s="101">
        <f t="shared" si="1"/>
        <v>-30454.81</v>
      </c>
      <c r="F19" s="101">
        <f>25417.74+30509.27           </f>
        <v>55927.01</v>
      </c>
      <c r="G19" s="101">
        <f t="shared" si="3"/>
        <v>-29154.81592</v>
      </c>
      <c r="H19" s="102">
        <f t="shared" si="4"/>
        <v>-0.3426679623</v>
      </c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</row>
    <row r="20">
      <c r="A20" s="94"/>
      <c r="B20" s="104">
        <v>45413.0</v>
      </c>
      <c r="C20" s="101">
        <f>1997.64+1151.13</f>
        <v>3148.77</v>
      </c>
      <c r="D20" s="56">
        <v>0.0</v>
      </c>
      <c r="E20" s="101">
        <f t="shared" si="1"/>
        <v>3148.77</v>
      </c>
      <c r="F20" s="56">
        <f>23804.89+33033.15        </f>
        <v>56838.04</v>
      </c>
      <c r="G20" s="101">
        <f t="shared" si="3"/>
        <v>911.03</v>
      </c>
      <c r="H20" s="102">
        <f t="shared" si="4"/>
        <v>0.01628962464</v>
      </c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</row>
    <row r="21">
      <c r="A21" s="94"/>
      <c r="B21" s="104">
        <v>45505.0</v>
      </c>
      <c r="C21" s="101">
        <f>1632.8+2118.54+1032.11</f>
        <v>4783.45</v>
      </c>
      <c r="D21" s="56">
        <v>0.0</v>
      </c>
      <c r="E21" s="101">
        <f t="shared" si="1"/>
        <v>4783.45</v>
      </c>
      <c r="F21" s="56">
        <f>32558.39+42197.3</f>
        <v>74755.69</v>
      </c>
      <c r="G21" s="101">
        <f t="shared" si="3"/>
        <v>17917.65</v>
      </c>
      <c r="H21" s="102">
        <f t="shared" si="4"/>
        <v>0.3152404622</v>
      </c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</row>
    <row r="22">
      <c r="A22" s="94"/>
      <c r="B22" s="104">
        <v>45536.0</v>
      </c>
      <c r="C22" s="101">
        <v>6086.91</v>
      </c>
      <c r="D22" s="56">
        <v>0.0</v>
      </c>
      <c r="E22" s="101">
        <f t="shared" si="1"/>
        <v>6086.91</v>
      </c>
      <c r="F22" s="56">
        <f>35512.47+48582.99</f>
        <v>84095.46</v>
      </c>
      <c r="G22" s="101">
        <f t="shared" si="3"/>
        <v>9339.77</v>
      </c>
      <c r="H22" s="102">
        <f t="shared" si="4"/>
        <v>0.1249372456</v>
      </c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</row>
    <row r="23">
      <c r="A23" s="94"/>
      <c r="B23" s="105">
        <v>45566.0</v>
      </c>
      <c r="C23" s="101">
        <v>31893.23</v>
      </c>
      <c r="D23" s="56">
        <f>2018.79+4195.74</f>
        <v>6214.53</v>
      </c>
      <c r="E23" s="101">
        <f t="shared" si="1"/>
        <v>25678.7</v>
      </c>
      <c r="F23" s="56">
        <f>46543.65+62145.89</f>
        <v>108689.54</v>
      </c>
      <c r="G23" s="101">
        <f t="shared" si="3"/>
        <v>24594.08</v>
      </c>
      <c r="H23" s="102">
        <f t="shared" si="4"/>
        <v>0.2924543132</v>
      </c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</row>
    <row r="24">
      <c r="A24" s="94"/>
      <c r="B24" s="105">
        <v>45597.0</v>
      </c>
      <c r="C24" s="101">
        <v>8957.03</v>
      </c>
      <c r="D24" s="56">
        <v>0.0</v>
      </c>
      <c r="E24" s="101">
        <f t="shared" si="1"/>
        <v>8957.03</v>
      </c>
      <c r="F24" s="56">
        <f>50581.3+66589.87</f>
        <v>117171.17</v>
      </c>
      <c r="G24" s="101">
        <f t="shared" si="3"/>
        <v>8481.63</v>
      </c>
      <c r="H24" s="102">
        <f t="shared" si="4"/>
        <v>0.07803538409</v>
      </c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</row>
    <row r="25">
      <c r="A25" s="94"/>
      <c r="B25" s="104">
        <v>45658.0</v>
      </c>
      <c r="C25" s="101">
        <v>12427.15</v>
      </c>
      <c r="D25" s="56">
        <v>0.0</v>
      </c>
      <c r="E25" s="101">
        <f t="shared" si="1"/>
        <v>12427.15</v>
      </c>
      <c r="F25" s="56">
        <f>54177.43+72735.81</f>
        <v>126913.24</v>
      </c>
      <c r="G25" s="101">
        <f t="shared" si="3"/>
        <v>9742.07</v>
      </c>
      <c r="H25" s="102">
        <f t="shared" si="4"/>
        <v>0.08314391672</v>
      </c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</row>
    <row r="26">
      <c r="A26" s="94"/>
      <c r="B26" s="104">
        <v>45748.0</v>
      </c>
      <c r="C26" s="56">
        <v>8913.13</v>
      </c>
      <c r="D26" s="56">
        <v>0.0</v>
      </c>
      <c r="E26" s="101">
        <f t="shared" si="1"/>
        <v>8913.13</v>
      </c>
      <c r="F26" s="56">
        <f>58288.94+77084.23</f>
        <v>135373.17</v>
      </c>
      <c r="G26" s="101">
        <f t="shared" si="3"/>
        <v>8459.93</v>
      </c>
      <c r="H26" s="102">
        <f t="shared" si="4"/>
        <v>0.06665916023</v>
      </c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</row>
    <row r="27">
      <c r="A27" s="94"/>
      <c r="B27" s="104">
        <v>45839.0</v>
      </c>
      <c r="C27" s="56">
        <v>16130.44</v>
      </c>
      <c r="D27" s="56">
        <v>0.0</v>
      </c>
      <c r="E27" s="101">
        <f t="shared" si="1"/>
        <v>16130.44</v>
      </c>
      <c r="F27" s="56">
        <f>69608.91+95124.65</f>
        <v>164733.56</v>
      </c>
      <c r="G27" s="101">
        <f t="shared" si="3"/>
        <v>29360.39</v>
      </c>
      <c r="H27" s="102">
        <f t="shared" si="4"/>
        <v>0.2168848524</v>
      </c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</row>
    <row r="28">
      <c r="A28" s="94"/>
      <c r="B28" s="104">
        <v>45901.0</v>
      </c>
      <c r="C28" s="56">
        <f>2887.65+'Tesouro Selic 2028'!D6+(642*'Carteira RV'!C30)</f>
        <v>16652.3202</v>
      </c>
      <c r="D28" s="56">
        <v>0.0</v>
      </c>
      <c r="E28" s="101">
        <f t="shared" si="1"/>
        <v>16652.3202</v>
      </c>
      <c r="F28" s="56">
        <f>71079.93+96975.42+E28</f>
        <v>184707.6702</v>
      </c>
      <c r="G28" s="101">
        <f t="shared" si="3"/>
        <v>19974.1102</v>
      </c>
      <c r="H28" s="102">
        <f t="shared" si="4"/>
        <v>0.121251008</v>
      </c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</row>
    <row r="29">
      <c r="A29" s="94"/>
      <c r="B29" s="105">
        <v>45931.0</v>
      </c>
      <c r="C29" s="101">
        <f>(366*'Carteira RV'!C30)+3009.21+'Tesouro Selic 2028'!D7</f>
        <v>10863.3046</v>
      </c>
      <c r="D29" s="56">
        <v>0.0</v>
      </c>
      <c r="E29" s="101">
        <f t="shared" si="1"/>
        <v>10863.3046</v>
      </c>
      <c r="F29" s="56">
        <f>81107.39+119550.43</f>
        <v>200657.82</v>
      </c>
      <c r="G29" s="101">
        <f t="shared" si="3"/>
        <v>15950.1498</v>
      </c>
      <c r="H29" s="102">
        <f t="shared" si="4"/>
        <v>0.08635347835</v>
      </c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</row>
    <row r="30">
      <c r="A30" s="94"/>
      <c r="B30" s="105">
        <v>46023.0</v>
      </c>
      <c r="C30" s="101">
        <f>3126.31+3006.12+16999.7+2499</f>
        <v>25631.13</v>
      </c>
      <c r="D30" s="56">
        <v>0.0</v>
      </c>
      <c r="E30" s="101">
        <f t="shared" si="1"/>
        <v>25631.13</v>
      </c>
      <c r="F30" s="56">
        <f>105040.19+139032.29</f>
        <v>244072.48</v>
      </c>
      <c r="G30" s="101">
        <f t="shared" si="3"/>
        <v>43414.66</v>
      </c>
      <c r="H30" s="102">
        <f t="shared" si="4"/>
        <v>0.2163616648</v>
      </c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</row>
    <row r="31">
      <c r="A31" s="94"/>
      <c r="B31" s="104">
        <v>46082.0</v>
      </c>
      <c r="C31" s="101">
        <v>29618.604</v>
      </c>
      <c r="D31" s="56">
        <v>0.0</v>
      </c>
      <c r="E31" s="101">
        <f t="shared" si="1"/>
        <v>29618.604</v>
      </c>
      <c r="F31" s="56">
        <f>111213.65+175393.41</f>
        <v>286607.06</v>
      </c>
      <c r="G31" s="101">
        <f t="shared" si="3"/>
        <v>42534.58</v>
      </c>
      <c r="H31" s="102">
        <f t="shared" si="4"/>
        <v>0.1742702823</v>
      </c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</row>
    <row r="32">
      <c r="A32" s="94"/>
      <c r="B32" s="104">
        <v>46204.0</v>
      </c>
      <c r="C32" s="101">
        <f>((AAPL!G16+AAPL!G15+FAST!G18+KO!G17+APH!G16+APH!G17)*'Carteira RV'!C30)+(EGIE3!G25+KNRI11!G24+HGRU11!G25+HGLG11!G25+ITUB3!G23+WEGE3!G26+TAEE3!G26+PSSA3!G21+HYPE3!G27+B3SA3!G27+BBDC3!G27+ABEV3!G26+'Tesouro Selic 2031'!D7+'Tesouro Educa+ 2043'!D4+'Tesouro Renda+ 2055'!D4)</f>
        <v>36981.92703</v>
      </c>
      <c r="D32" s="101">
        <f>SUM('Tesouro Selic 2031'!D6+'Tesouro IPCA+ 2035'!D21)</f>
        <v>-38526.94</v>
      </c>
      <c r="E32" s="101">
        <f t="shared" ref="E32:E33" si="5">C32+D32</f>
        <v>-1545.012974</v>
      </c>
      <c r="F32" s="56">
        <f>120984.13+167991.3</f>
        <v>288975.43</v>
      </c>
      <c r="G32" s="101">
        <f t="shared" si="3"/>
        <v>2368.37</v>
      </c>
      <c r="H32" s="102">
        <f t="shared" si="4"/>
        <v>0.00826347404</v>
      </c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</row>
    <row r="33">
      <c r="A33" s="94"/>
      <c r="B33" s="104">
        <v>46266.0</v>
      </c>
      <c r="C33" s="101">
        <f>3168.1+637.07+2149.32</f>
        <v>5954.49</v>
      </c>
      <c r="D33" s="56">
        <v>0.0</v>
      </c>
      <c r="E33" s="101">
        <f t="shared" si="5"/>
        <v>5954.49</v>
      </c>
      <c r="F33" s="56">
        <f>124151.31+158019.23</f>
        <v>282170.54</v>
      </c>
      <c r="G33" s="101">
        <f t="shared" si="3"/>
        <v>-6804.89</v>
      </c>
      <c r="H33" s="102">
        <f t="shared" si="4"/>
        <v>-0.0235483342</v>
      </c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</row>
    <row r="34">
      <c r="A34" s="94"/>
      <c r="B34" s="106"/>
      <c r="C34" s="107"/>
      <c r="D34" s="107"/>
      <c r="E34" s="101"/>
      <c r="F34" s="107"/>
      <c r="G34" s="107"/>
      <c r="H34" s="102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</row>
    <row r="35">
      <c r="A35" s="94"/>
      <c r="B35" s="106"/>
      <c r="C35" s="107"/>
      <c r="D35" s="107"/>
      <c r="E35" s="101"/>
      <c r="F35" s="107"/>
      <c r="G35" s="107"/>
      <c r="H35" s="102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</row>
    <row r="36">
      <c r="A36" s="94"/>
      <c r="B36" s="106"/>
      <c r="C36" s="107"/>
      <c r="D36" s="107"/>
      <c r="E36" s="101"/>
      <c r="F36" s="107"/>
      <c r="G36" s="107"/>
      <c r="H36" s="102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</row>
    <row r="37">
      <c r="A37" s="94"/>
      <c r="B37" s="106"/>
      <c r="C37" s="107"/>
      <c r="D37" s="107"/>
      <c r="E37" s="101"/>
      <c r="F37" s="107"/>
      <c r="G37" s="107"/>
      <c r="H37" s="102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</row>
    <row r="38">
      <c r="A38" s="94"/>
      <c r="B38" s="106"/>
      <c r="C38" s="107"/>
      <c r="D38" s="107"/>
      <c r="E38" s="101"/>
      <c r="F38" s="107"/>
      <c r="G38" s="107"/>
      <c r="H38" s="102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</row>
    <row r="39">
      <c r="A39" s="94"/>
      <c r="B39" s="106"/>
      <c r="C39" s="107"/>
      <c r="D39" s="107"/>
      <c r="E39" s="101"/>
      <c r="F39" s="107"/>
      <c r="G39" s="107"/>
      <c r="H39" s="102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</row>
    <row r="40">
      <c r="A40" s="94"/>
      <c r="B40" s="108"/>
      <c r="C40" s="109"/>
      <c r="D40" s="109"/>
      <c r="E40" s="110"/>
      <c r="F40" s="109"/>
      <c r="G40" s="109"/>
      <c r="H40" s="111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</row>
    <row r="4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</row>
    <row r="42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</row>
    <row r="43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</row>
    <row r="44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</row>
    <row r="45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</row>
    <row r="46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</row>
    <row r="48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</row>
    <row r="49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</row>
    <row r="50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</row>
    <row r="5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</row>
    <row r="52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</row>
    <row r="53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</row>
    <row r="54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</row>
    <row r="55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</row>
    <row r="56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</row>
    <row r="57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</row>
    <row r="58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</row>
    <row r="59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</row>
    <row r="60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</row>
    <row r="6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</row>
    <row r="62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</row>
    <row r="63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</row>
    <row r="64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</row>
    <row r="65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</row>
    <row r="66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</row>
    <row r="68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</row>
    <row r="69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</row>
    <row r="70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</row>
    <row r="7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</row>
    <row r="72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</row>
    <row r="73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</row>
    <row r="74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</row>
    <row r="75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</row>
    <row r="76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</row>
    <row r="77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</row>
    <row r="78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</row>
    <row r="79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</row>
    <row r="80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</row>
    <row r="8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</row>
    <row r="82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</row>
    <row r="83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</row>
    <row r="84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</row>
    <row r="85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</row>
    <row r="86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</row>
    <row r="87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</row>
    <row r="89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</row>
    <row r="90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</row>
    <row r="9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</row>
    <row r="92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</row>
    <row r="93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</row>
    <row r="94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</row>
    <row r="95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</row>
    <row r="96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</row>
    <row r="97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</row>
    <row r="98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</row>
    <row r="99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</row>
    <row r="100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</row>
    <row r="10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</row>
    <row r="102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</row>
    <row r="103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</row>
    <row r="104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</row>
    <row r="105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</row>
    <row r="106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</row>
    <row r="107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</row>
    <row r="108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</row>
    <row r="109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</row>
    <row r="11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</row>
    <row r="112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</row>
    <row r="113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</row>
    <row r="114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</row>
    <row r="115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</row>
    <row r="116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</row>
    <row r="117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</row>
    <row r="118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</row>
    <row r="119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</row>
    <row r="120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</row>
    <row r="12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</row>
    <row r="122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</row>
    <row r="123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</row>
    <row r="124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</row>
    <row r="1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</row>
    <row r="126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</row>
    <row r="127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</row>
    <row r="128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</row>
    <row r="129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</row>
    <row r="130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</row>
    <row r="13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</row>
    <row r="132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</row>
    <row r="133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</row>
    <row r="134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</row>
    <row r="135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</row>
    <row r="136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</row>
    <row r="137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</row>
    <row r="138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</row>
    <row r="139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</row>
    <row r="140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</row>
    <row r="14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</row>
    <row r="142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</row>
    <row r="143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</row>
    <row r="144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</row>
    <row r="145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</row>
    <row r="146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</row>
    <row r="147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</row>
    <row r="148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</row>
    <row r="149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</row>
    <row r="150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</row>
    <row r="15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</row>
    <row r="152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</row>
    <row r="153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</row>
    <row r="154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</row>
    <row r="155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</row>
    <row r="156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</row>
    <row r="157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</row>
    <row r="158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</row>
    <row r="159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</row>
    <row r="160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</row>
    <row r="16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</row>
    <row r="162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</row>
    <row r="163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</row>
    <row r="164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</row>
    <row r="165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</row>
    <row r="166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</row>
    <row r="167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</row>
    <row r="168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</row>
    <row r="169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</row>
    <row r="170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</row>
    <row r="17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</row>
    <row r="172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</row>
    <row r="173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</row>
    <row r="174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</row>
    <row r="175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</row>
    <row r="176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</row>
    <row r="177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</row>
    <row r="178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</row>
    <row r="179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</row>
    <row r="180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</row>
    <row r="18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</row>
    <row r="182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</row>
    <row r="183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</row>
    <row r="184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</row>
    <row r="185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</row>
    <row r="186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</row>
    <row r="187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</row>
    <row r="188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</row>
    <row r="189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</row>
    <row r="190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</row>
    <row r="19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</row>
    <row r="192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</row>
    <row r="193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</row>
    <row r="194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</row>
    <row r="195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</row>
    <row r="196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</row>
    <row r="197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</row>
    <row r="198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</row>
    <row r="199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</row>
    <row r="200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</row>
    <row r="20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</row>
    <row r="202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</row>
    <row r="203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</row>
    <row r="204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</row>
    <row r="205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</row>
    <row r="206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</row>
    <row r="207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</row>
    <row r="208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</row>
    <row r="209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</row>
    <row r="210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</row>
    <row r="21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</row>
    <row r="212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</row>
    <row r="213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</row>
    <row r="214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</row>
    <row r="215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</row>
    <row r="216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</row>
    <row r="217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</row>
    <row r="218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</row>
    <row r="219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</row>
    <row r="220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</row>
    <row r="22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</row>
    <row r="222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</row>
    <row r="223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</row>
    <row r="224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</row>
    <row r="225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</row>
    <row r="226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</row>
    <row r="227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</row>
    <row r="228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</row>
    <row r="229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</row>
    <row r="230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</row>
    <row r="23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</row>
    <row r="232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</row>
    <row r="233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</row>
    <row r="234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</row>
    <row r="235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</row>
    <row r="236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</row>
    <row r="237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</row>
    <row r="238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</row>
    <row r="239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</row>
    <row r="240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</row>
    <row r="24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</row>
    <row r="242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</row>
    <row r="243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</row>
    <row r="244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</row>
    <row r="245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</row>
    <row r="246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</row>
    <row r="247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</row>
    <row r="248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</row>
    <row r="249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</row>
    <row r="250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</row>
    <row r="25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</row>
    <row r="252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</row>
    <row r="253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</row>
    <row r="254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</row>
    <row r="255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</row>
    <row r="256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</row>
    <row r="257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</row>
    <row r="258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</row>
    <row r="259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</row>
    <row r="260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</row>
    <row r="26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</row>
    <row r="262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</row>
    <row r="263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</row>
    <row r="264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</row>
    <row r="265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</row>
    <row r="266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</row>
    <row r="267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</row>
    <row r="268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</row>
    <row r="269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</row>
    <row r="270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</row>
    <row r="27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</row>
    <row r="272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</row>
    <row r="273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</row>
    <row r="274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</row>
    <row r="275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</row>
    <row r="276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</row>
    <row r="277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</row>
    <row r="278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</row>
    <row r="279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</row>
    <row r="280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</row>
    <row r="28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</row>
    <row r="282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</row>
    <row r="283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</row>
    <row r="284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</row>
    <row r="285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</row>
    <row r="286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</row>
    <row r="287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</row>
    <row r="288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</row>
    <row r="289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</row>
    <row r="290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</row>
    <row r="29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</row>
    <row r="292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</row>
    <row r="293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</row>
    <row r="294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</row>
    <row r="295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</row>
    <row r="296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</row>
    <row r="297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</row>
    <row r="298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</row>
    <row r="299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</row>
    <row r="300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</row>
    <row r="30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</row>
    <row r="302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</row>
    <row r="303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</row>
    <row r="304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</row>
    <row r="305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</row>
    <row r="306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</row>
    <row r="307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</row>
    <row r="308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</row>
    <row r="309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</row>
    <row r="310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</row>
    <row r="31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</row>
    <row r="312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</row>
    <row r="313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</row>
    <row r="314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</row>
    <row r="315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</row>
    <row r="316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</row>
    <row r="317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</row>
    <row r="318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</row>
    <row r="319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</row>
    <row r="320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</row>
    <row r="32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</row>
    <row r="322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</row>
    <row r="323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</row>
    <row r="324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</row>
    <row r="325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</row>
    <row r="326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</row>
    <row r="327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</row>
    <row r="328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</row>
    <row r="329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</row>
    <row r="330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</row>
    <row r="33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</row>
    <row r="332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</row>
    <row r="333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</row>
    <row r="334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</row>
    <row r="335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</row>
    <row r="336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</row>
    <row r="337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</row>
    <row r="338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</row>
    <row r="339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</row>
    <row r="340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</row>
    <row r="34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</row>
    <row r="342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</row>
    <row r="343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</row>
    <row r="344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</row>
    <row r="345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</row>
    <row r="346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</row>
    <row r="347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</row>
    <row r="348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</row>
    <row r="349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</row>
    <row r="350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</row>
    <row r="35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</row>
    <row r="35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</row>
    <row r="353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</row>
    <row r="354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</row>
    <row r="355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</row>
    <row r="356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</row>
    <row r="357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</row>
    <row r="358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</row>
    <row r="359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</row>
    <row r="360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</row>
    <row r="36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</row>
    <row r="36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</row>
    <row r="363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</row>
    <row r="364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</row>
    <row r="365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</row>
    <row r="366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</row>
    <row r="367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</row>
    <row r="368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</row>
    <row r="369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</row>
    <row r="370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</row>
    <row r="37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</row>
    <row r="37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</row>
    <row r="373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</row>
    <row r="374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</row>
    <row r="375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</row>
    <row r="376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</row>
    <row r="377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</row>
    <row r="378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</row>
    <row r="379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</row>
    <row r="380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</row>
    <row r="38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</row>
    <row r="38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</row>
    <row r="383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</row>
    <row r="384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</row>
    <row r="385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</row>
    <row r="386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</row>
    <row r="387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</row>
    <row r="388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</row>
    <row r="389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</row>
    <row r="390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</row>
    <row r="39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</row>
    <row r="39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</row>
    <row r="393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</row>
    <row r="394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</row>
    <row r="395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</row>
    <row r="396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</row>
    <row r="397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</row>
    <row r="398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</row>
    <row r="399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</row>
    <row r="400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</row>
    <row r="40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</row>
    <row r="40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</row>
    <row r="403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</row>
    <row r="404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</row>
    <row r="405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</row>
    <row r="406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</row>
    <row r="407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</row>
    <row r="408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</row>
    <row r="409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</row>
    <row r="410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</row>
    <row r="41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</row>
    <row r="41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</row>
    <row r="413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</row>
    <row r="414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</row>
    <row r="415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</row>
    <row r="416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</row>
    <row r="417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</row>
    <row r="418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</row>
    <row r="419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</row>
    <row r="420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</row>
    <row r="42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</row>
    <row r="42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</row>
    <row r="423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</row>
    <row r="424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</row>
    <row r="425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</row>
    <row r="426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</row>
    <row r="427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</row>
    <row r="428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</row>
    <row r="429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</row>
    <row r="430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</row>
    <row r="43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</row>
    <row r="43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</row>
    <row r="433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</row>
    <row r="434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</row>
    <row r="435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</row>
    <row r="436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</row>
    <row r="437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</row>
    <row r="438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</row>
    <row r="439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</row>
    <row r="440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</row>
    <row r="44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</row>
    <row r="44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</row>
    <row r="443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</row>
    <row r="444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</row>
    <row r="445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</row>
    <row r="446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</row>
    <row r="447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</row>
    <row r="448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</row>
    <row r="449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</row>
    <row r="450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</row>
    <row r="45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</row>
    <row r="45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</row>
    <row r="453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</row>
    <row r="454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</row>
    <row r="455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</row>
    <row r="456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</row>
    <row r="457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</row>
    <row r="458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</row>
    <row r="459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</row>
    <row r="460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</row>
    <row r="46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</row>
    <row r="46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</row>
    <row r="463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</row>
    <row r="464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</row>
    <row r="465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</row>
    <row r="466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</row>
    <row r="467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</row>
    <row r="468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</row>
    <row r="469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</row>
    <row r="470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</row>
    <row r="47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</row>
    <row r="47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</row>
    <row r="473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</row>
    <row r="474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</row>
    <row r="475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</row>
    <row r="476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</row>
    <row r="477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</row>
    <row r="478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</row>
    <row r="479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</row>
    <row r="480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</row>
    <row r="48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</row>
    <row r="48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</row>
    <row r="483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</row>
    <row r="484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</row>
    <row r="485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</row>
    <row r="486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</row>
    <row r="487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</row>
    <row r="488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</row>
    <row r="489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</row>
    <row r="490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</row>
    <row r="49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</row>
    <row r="49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</row>
    <row r="493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</row>
    <row r="494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</row>
    <row r="495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</row>
    <row r="496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</row>
    <row r="497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</row>
    <row r="498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</row>
    <row r="499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</row>
    <row r="500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</row>
    <row r="50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</row>
    <row r="50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</row>
    <row r="503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</row>
    <row r="504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</row>
    <row r="505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</row>
    <row r="506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</row>
    <row r="507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</row>
    <row r="508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</row>
    <row r="509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</row>
    <row r="510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</row>
    <row r="51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</row>
    <row r="51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</row>
    <row r="513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</row>
    <row r="514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</row>
    <row r="515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</row>
    <row r="516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</row>
    <row r="517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</row>
    <row r="518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</row>
    <row r="519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</row>
    <row r="520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</row>
    <row r="52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</row>
    <row r="52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</row>
    <row r="523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</row>
    <row r="524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</row>
    <row r="525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</row>
    <row r="526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</row>
    <row r="527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</row>
    <row r="528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</row>
    <row r="529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</row>
    <row r="530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</row>
    <row r="53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</row>
    <row r="53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</row>
    <row r="533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</row>
    <row r="534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</row>
    <row r="535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</row>
    <row r="536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</row>
    <row r="537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</row>
    <row r="538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</row>
    <row r="539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</row>
    <row r="540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</row>
    <row r="54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</row>
    <row r="54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</row>
    <row r="543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</row>
    <row r="544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</row>
    <row r="545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</row>
    <row r="546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</row>
    <row r="547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</row>
    <row r="548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</row>
    <row r="549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</row>
    <row r="550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</row>
    <row r="55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</row>
    <row r="55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</row>
    <row r="553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</row>
    <row r="554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</row>
    <row r="555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</row>
    <row r="556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</row>
    <row r="557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</row>
    <row r="558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</row>
    <row r="559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</row>
    <row r="560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</row>
    <row r="56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</row>
    <row r="56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</row>
    <row r="563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</row>
    <row r="564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</row>
    <row r="565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</row>
    <row r="566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</row>
    <row r="567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</row>
    <row r="568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</row>
    <row r="569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</row>
    <row r="570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</row>
    <row r="57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</row>
    <row r="57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</row>
    <row r="573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</row>
    <row r="574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</row>
    <row r="575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</row>
    <row r="576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</row>
    <row r="577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</row>
    <row r="578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</row>
    <row r="579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</row>
    <row r="580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</row>
    <row r="58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</row>
    <row r="58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</row>
    <row r="583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</row>
    <row r="584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</row>
    <row r="585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</row>
    <row r="586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</row>
    <row r="587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</row>
    <row r="588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</row>
    <row r="589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</row>
    <row r="590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</row>
    <row r="59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</row>
    <row r="59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</row>
    <row r="593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</row>
    <row r="594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</row>
    <row r="595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</row>
    <row r="596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</row>
    <row r="597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</row>
    <row r="598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</row>
    <row r="599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</row>
    <row r="600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</row>
    <row r="60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</row>
    <row r="60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</row>
    <row r="603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</row>
    <row r="604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</row>
    <row r="605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</row>
    <row r="606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</row>
    <row r="607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</row>
    <row r="608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</row>
    <row r="609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</row>
    <row r="610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</row>
    <row r="61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</row>
    <row r="61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</row>
    <row r="613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</row>
    <row r="614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</row>
    <row r="615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</row>
    <row r="616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</row>
    <row r="617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</row>
    <row r="618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</row>
    <row r="619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</row>
    <row r="620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</row>
    <row r="62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</row>
    <row r="62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</row>
    <row r="623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</row>
    <row r="624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</row>
    <row r="625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</row>
    <row r="626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</row>
    <row r="627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</row>
    <row r="628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</row>
    <row r="629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</row>
    <row r="630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</row>
    <row r="63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</row>
    <row r="63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</row>
    <row r="633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</row>
    <row r="634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</row>
    <row r="635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</row>
    <row r="636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</row>
    <row r="637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</row>
    <row r="638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</row>
    <row r="639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</row>
    <row r="640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</row>
    <row r="64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</row>
    <row r="64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</row>
    <row r="643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</row>
    <row r="644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</row>
    <row r="645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</row>
    <row r="646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</row>
    <row r="647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</row>
    <row r="648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</row>
    <row r="649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</row>
    <row r="650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</row>
    <row r="65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</row>
    <row r="65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</row>
    <row r="653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</row>
    <row r="654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</row>
    <row r="655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</row>
    <row r="656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</row>
    <row r="657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</row>
    <row r="658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</row>
    <row r="659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</row>
    <row r="660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</row>
    <row r="66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</row>
    <row r="66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</row>
    <row r="663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</row>
    <row r="664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</row>
    <row r="665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</row>
    <row r="666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</row>
    <row r="667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</row>
    <row r="668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</row>
    <row r="669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</row>
    <row r="670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</row>
    <row r="67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</row>
    <row r="67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</row>
    <row r="673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</row>
    <row r="674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</row>
    <row r="675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</row>
    <row r="676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</row>
    <row r="677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</row>
    <row r="678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</row>
    <row r="679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</row>
    <row r="680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</row>
    <row r="68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</row>
    <row r="68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</row>
    <row r="683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</row>
    <row r="684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</row>
    <row r="685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</row>
    <row r="686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</row>
    <row r="687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</row>
    <row r="688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</row>
    <row r="689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</row>
    <row r="690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</row>
    <row r="69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</row>
    <row r="69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</row>
    <row r="693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</row>
    <row r="694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</row>
    <row r="695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</row>
    <row r="696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</row>
    <row r="697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</row>
    <row r="698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</row>
    <row r="699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</row>
    <row r="700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</row>
    <row r="70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</row>
    <row r="70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</row>
    <row r="703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</row>
    <row r="704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</row>
    <row r="705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</row>
    <row r="706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</row>
    <row r="707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</row>
    <row r="708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</row>
    <row r="709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</row>
    <row r="710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</row>
    <row r="71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</row>
    <row r="71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</row>
    <row r="713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</row>
    <row r="714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</row>
    <row r="715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</row>
    <row r="716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</row>
    <row r="717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</row>
    <row r="718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</row>
    <row r="719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</row>
    <row r="720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</row>
    <row r="72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</row>
    <row r="72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</row>
    <row r="723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</row>
    <row r="724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</row>
    <row r="725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</row>
    <row r="726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</row>
    <row r="727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</row>
    <row r="728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</row>
    <row r="729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</row>
    <row r="730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</row>
    <row r="73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</row>
    <row r="73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</row>
    <row r="733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</row>
    <row r="734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</row>
    <row r="735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</row>
    <row r="736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</row>
    <row r="737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</row>
    <row r="738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</row>
    <row r="739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</row>
    <row r="740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</row>
    <row r="74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</row>
    <row r="74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</row>
    <row r="743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</row>
    <row r="744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</row>
    <row r="745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</row>
    <row r="746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</row>
    <row r="747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</row>
    <row r="748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</row>
    <row r="749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</row>
    <row r="750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</row>
    <row r="75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</row>
    <row r="75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</row>
    <row r="753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</row>
    <row r="754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</row>
    <row r="755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</row>
    <row r="756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</row>
    <row r="757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</row>
    <row r="758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</row>
    <row r="759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</row>
    <row r="760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</row>
    <row r="76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</row>
    <row r="76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</row>
    <row r="763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</row>
    <row r="764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</row>
    <row r="765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</row>
    <row r="766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</row>
    <row r="767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</row>
    <row r="768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</row>
    <row r="769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</row>
    <row r="770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</row>
    <row r="77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</row>
    <row r="77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</row>
    <row r="773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</row>
    <row r="774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</row>
    <row r="775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</row>
    <row r="776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</row>
    <row r="777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</row>
    <row r="778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</row>
    <row r="779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</row>
    <row r="780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</row>
    <row r="78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</row>
    <row r="78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</row>
    <row r="783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</row>
    <row r="784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</row>
    <row r="785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</row>
    <row r="786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</row>
    <row r="787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</row>
    <row r="788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</row>
    <row r="789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</row>
    <row r="790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</row>
    <row r="79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</row>
    <row r="79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</row>
    <row r="793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</row>
    <row r="794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</row>
    <row r="795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</row>
    <row r="796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</row>
    <row r="797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</row>
    <row r="798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</row>
    <row r="799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</row>
    <row r="800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</row>
    <row r="80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</row>
    <row r="80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</row>
    <row r="803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</row>
    <row r="804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</row>
    <row r="805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</row>
    <row r="806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</row>
    <row r="807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</row>
    <row r="808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</row>
    <row r="809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</row>
    <row r="810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</row>
    <row r="81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</row>
    <row r="81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</row>
    <row r="813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</row>
    <row r="814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</row>
    <row r="815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</row>
    <row r="816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</row>
    <row r="817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</row>
    <row r="818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</row>
    <row r="819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</row>
    <row r="820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</row>
    <row r="82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</row>
    <row r="82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</row>
    <row r="823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</row>
    <row r="824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</row>
    <row r="825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</row>
    <row r="826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</row>
    <row r="827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</row>
    <row r="828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</row>
    <row r="829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</row>
    <row r="830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</row>
    <row r="83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</row>
    <row r="83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</row>
    <row r="833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</row>
    <row r="834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</row>
    <row r="835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</row>
    <row r="836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</row>
    <row r="837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</row>
    <row r="838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</row>
    <row r="839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</row>
    <row r="840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</row>
    <row r="84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</row>
    <row r="84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</row>
    <row r="843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</row>
    <row r="844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</row>
    <row r="845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</row>
    <row r="846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</row>
    <row r="847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</row>
    <row r="848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</row>
    <row r="849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</row>
    <row r="850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</row>
    <row r="85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</row>
    <row r="85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</row>
    <row r="853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</row>
    <row r="854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</row>
    <row r="855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</row>
    <row r="856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</row>
    <row r="857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</row>
    <row r="858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</row>
    <row r="859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</row>
    <row r="860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</row>
    <row r="86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</row>
    <row r="86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</row>
    <row r="863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</row>
    <row r="864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</row>
    <row r="865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</row>
    <row r="866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</row>
    <row r="867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</row>
    <row r="868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</row>
    <row r="869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</row>
    <row r="870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</row>
    <row r="87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</row>
    <row r="87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</row>
    <row r="873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</row>
    <row r="874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</row>
    <row r="875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</row>
    <row r="876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</row>
    <row r="877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</row>
    <row r="878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</row>
    <row r="879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</row>
    <row r="880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</row>
    <row r="88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</row>
    <row r="88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</row>
    <row r="883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</row>
    <row r="884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</row>
    <row r="885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</row>
    <row r="886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</row>
    <row r="887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</row>
    <row r="888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</row>
    <row r="889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</row>
    <row r="890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</row>
    <row r="89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</row>
    <row r="89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</row>
    <row r="893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</row>
    <row r="894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</row>
    <row r="895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</row>
    <row r="896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</row>
    <row r="897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</row>
    <row r="898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</row>
    <row r="899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</row>
    <row r="900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</row>
    <row r="90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</row>
    <row r="90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</row>
    <row r="903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</row>
    <row r="904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</row>
    <row r="905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</row>
    <row r="906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</row>
    <row r="907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</row>
    <row r="908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</row>
    <row r="909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</row>
    <row r="910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</row>
    <row r="91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</row>
    <row r="91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</row>
    <row r="913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</row>
    <row r="914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</row>
    <row r="915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</row>
    <row r="916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</row>
    <row r="917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</row>
    <row r="918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</row>
    <row r="919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</row>
    <row r="920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</row>
    <row r="92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</row>
    <row r="92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</row>
    <row r="923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</row>
    <row r="924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</row>
    <row r="925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</row>
    <row r="926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</row>
    <row r="927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</row>
    <row r="928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</row>
    <row r="929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</row>
    <row r="930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</row>
    <row r="93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</row>
    <row r="93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</row>
    <row r="933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</row>
    <row r="934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</row>
    <row r="935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</row>
    <row r="936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</row>
    <row r="937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</row>
    <row r="938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</row>
    <row r="939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</row>
    <row r="940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</row>
    <row r="94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</row>
    <row r="942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</row>
    <row r="943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</row>
    <row r="944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</row>
    <row r="945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</row>
    <row r="946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</row>
    <row r="947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</row>
    <row r="948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</row>
    <row r="949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</row>
    <row r="950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</row>
    <row r="95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</row>
    <row r="952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</row>
    <row r="953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</row>
    <row r="954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</row>
    <row r="955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</row>
    <row r="956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</row>
    <row r="957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</row>
    <row r="958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</row>
    <row r="959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</row>
    <row r="960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</row>
    <row r="96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</row>
    <row r="962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</row>
    <row r="963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</row>
    <row r="964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</row>
    <row r="965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</row>
    <row r="966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</row>
    <row r="967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</row>
    <row r="968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</row>
    <row r="969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</row>
    <row r="970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</row>
    <row r="97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</row>
    <row r="97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</row>
    <row r="973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</row>
    <row r="974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</row>
    <row r="975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</row>
    <row r="976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</row>
    <row r="977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</row>
    <row r="978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</row>
    <row r="979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</row>
    <row r="980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</row>
    <row r="98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</row>
    <row r="98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</row>
    <row r="983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</row>
    <row r="984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</row>
    <row r="985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</row>
    <row r="986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</row>
    <row r="987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</row>
    <row r="988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</row>
    <row r="989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</row>
    <row r="990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</row>
    <row r="99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</row>
    <row r="992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</row>
    <row r="993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</row>
    <row r="994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</row>
    <row r="995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</row>
    <row r="996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</row>
    <row r="997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</row>
    <row r="998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</row>
    <row r="999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</row>
    <row r="1000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</row>
    <row r="1001">
      <c r="A1001" s="94"/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</row>
    <row r="1002">
      <c r="A1002" s="94"/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</row>
    <row r="1003">
      <c r="A1003" s="94"/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</row>
    <row r="1004">
      <c r="A1004" s="94"/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</row>
    <row r="1005">
      <c r="A1005" s="94"/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</row>
    <row r="1006">
      <c r="A1006" s="94"/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</row>
    <row r="1007">
      <c r="A1007" s="94"/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</row>
  </sheetData>
  <mergeCells count="1">
    <mergeCell ref="B2:H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72</v>
      </c>
      <c r="D2" s="3" t="s">
        <v>24</v>
      </c>
      <c r="E2" s="5"/>
      <c r="F2" s="21" t="str">
        <f>IFERROR(__xludf.DUMMYFUNCTION("IF(C2="""","""",GOOGLEFINANCE(C2,""Name""))"),"Apple Inc")</f>
        <v>Apple Inc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112">
        <v>44655.0</v>
      </c>
      <c r="C4" s="113" t="s">
        <v>73</v>
      </c>
      <c r="D4" s="113">
        <v>1.0</v>
      </c>
      <c r="E4" s="114">
        <v>117.19</v>
      </c>
      <c r="F4" s="114">
        <v>0.0</v>
      </c>
      <c r="G4" s="115">
        <f t="shared" ref="G4:G7" si="1">E4*D4</f>
        <v>117.19</v>
      </c>
      <c r="H4" s="32" t="str">
        <f>IFERROR(__xludf.DUMMYFUNCTION("IF(C2="""","""",SPARKLINE(GOOGLEFINANCE(C2,""price"",TODAY()-K4,TODAY())))"),"")</f>
        <v/>
      </c>
      <c r="K4" s="33">
        <v>30.0</v>
      </c>
    </row>
    <row r="5">
      <c r="B5" s="112">
        <v>45551.0</v>
      </c>
      <c r="C5" s="113" t="s">
        <v>73</v>
      </c>
      <c r="D5" s="113">
        <v>0.16</v>
      </c>
      <c r="E5" s="114">
        <v>216.36</v>
      </c>
      <c r="F5" s="114">
        <v>0.0</v>
      </c>
      <c r="G5" s="115">
        <f t="shared" si="1"/>
        <v>34.6176</v>
      </c>
      <c r="K5" s="34"/>
    </row>
    <row r="6">
      <c r="B6" s="116">
        <v>45595.0</v>
      </c>
      <c r="C6" s="113" t="s">
        <v>73</v>
      </c>
      <c r="D6" s="113">
        <v>0.4894</v>
      </c>
      <c r="E6" s="114">
        <v>230.88</v>
      </c>
      <c r="F6" s="114">
        <v>0.0</v>
      </c>
      <c r="G6" s="115">
        <f t="shared" si="1"/>
        <v>112.992672</v>
      </c>
      <c r="H6" s="15"/>
      <c r="I6" s="15"/>
      <c r="J6" s="15"/>
      <c r="K6" s="34"/>
    </row>
    <row r="7">
      <c r="B7" s="112">
        <v>45628.0</v>
      </c>
      <c r="C7" s="113" t="s">
        <v>73</v>
      </c>
      <c r="D7" s="113">
        <v>0.2251</v>
      </c>
      <c r="E7" s="114">
        <v>239.8</v>
      </c>
      <c r="F7" s="114">
        <v>0.0</v>
      </c>
      <c r="G7" s="115">
        <f t="shared" si="1"/>
        <v>53.97898</v>
      </c>
      <c r="K7" s="35"/>
    </row>
    <row r="8">
      <c r="B8" s="112">
        <v>45667.0</v>
      </c>
      <c r="C8" s="113" t="s">
        <v>73</v>
      </c>
      <c r="D8" s="31">
        <f t="shared" ref="D8:D9" si="2">G8/E8</f>
        <v>0.3103533891</v>
      </c>
      <c r="E8" s="114">
        <v>241.66</v>
      </c>
      <c r="F8" s="114">
        <v>0.0</v>
      </c>
      <c r="G8" s="114">
        <v>75.0</v>
      </c>
      <c r="K8" s="36"/>
    </row>
    <row r="9">
      <c r="B9" s="112">
        <v>45758.0</v>
      </c>
      <c r="C9" s="113" t="s">
        <v>73</v>
      </c>
      <c r="D9" s="31">
        <f t="shared" si="2"/>
        <v>0.2582278481</v>
      </c>
      <c r="E9" s="114">
        <v>197.5</v>
      </c>
      <c r="F9" s="114">
        <v>0.0</v>
      </c>
      <c r="G9" s="114">
        <v>51.0</v>
      </c>
      <c r="K9" s="36"/>
    </row>
    <row r="10">
      <c r="B10" s="112">
        <v>45848.0</v>
      </c>
      <c r="C10" s="113" t="s">
        <v>73</v>
      </c>
      <c r="D10" s="113">
        <v>1.11842105</v>
      </c>
      <c r="E10" s="114">
        <v>212.8</v>
      </c>
      <c r="F10" s="114">
        <v>0.0</v>
      </c>
      <c r="G10" s="115">
        <f t="shared" ref="G10:G21" si="3">E10*D10</f>
        <v>237.9999994</v>
      </c>
      <c r="I10" s="25" t="s">
        <v>32</v>
      </c>
      <c r="J10" s="32">
        <f>SUMIFS(D4:D21,C4:C21,"COMPRA")</f>
        <v>5.752720747</v>
      </c>
      <c r="K10" s="36"/>
    </row>
    <row r="11">
      <c r="B11" s="112">
        <v>45939.0</v>
      </c>
      <c r="C11" s="113" t="s">
        <v>73</v>
      </c>
      <c r="D11" s="113">
        <v>0.23921569</v>
      </c>
      <c r="E11" s="114">
        <v>255.0</v>
      </c>
      <c r="F11" s="114">
        <v>0.0</v>
      </c>
      <c r="G11" s="115">
        <f t="shared" si="3"/>
        <v>61.00000095</v>
      </c>
      <c r="I11" s="25" t="s">
        <v>33</v>
      </c>
      <c r="J11" s="32">
        <f>SUMIFS(D4:D21,C4:C21,"VENDA")</f>
        <v>0</v>
      </c>
      <c r="K11" s="36"/>
    </row>
    <row r="12">
      <c r="B12" s="112">
        <v>46000.0</v>
      </c>
      <c r="C12" s="113" t="s">
        <v>73</v>
      </c>
      <c r="D12" s="113">
        <v>0.32314818</v>
      </c>
      <c r="E12" s="114">
        <v>278.51</v>
      </c>
      <c r="F12" s="114">
        <v>0.0</v>
      </c>
      <c r="G12" s="115">
        <f t="shared" si="3"/>
        <v>89.99999961</v>
      </c>
      <c r="I12" s="25" t="s">
        <v>34</v>
      </c>
      <c r="J12" s="32">
        <f>J10-J11</f>
        <v>5.752720747</v>
      </c>
      <c r="K12" s="36"/>
    </row>
    <row r="13">
      <c r="B13" s="112">
        <v>46051.0</v>
      </c>
      <c r="C13" s="113" t="s">
        <v>73</v>
      </c>
      <c r="D13" s="113">
        <v>0.37454234</v>
      </c>
      <c r="E13" s="114">
        <v>256.74</v>
      </c>
      <c r="F13" s="114">
        <v>0.0</v>
      </c>
      <c r="G13" s="115">
        <f t="shared" si="3"/>
        <v>96.16000037</v>
      </c>
      <c r="I13" s="25" t="s">
        <v>35</v>
      </c>
      <c r="J13" s="117">
        <f>SUMIFS(G4:G21,C4:C21,"COMPRA")</f>
        <v>1294.139251</v>
      </c>
      <c r="K13" s="36"/>
    </row>
    <row r="14">
      <c r="B14" s="112">
        <v>46087.0</v>
      </c>
      <c r="C14" s="113" t="s">
        <v>73</v>
      </c>
      <c r="D14" s="113">
        <v>0.42160224</v>
      </c>
      <c r="E14" s="114">
        <v>256.64</v>
      </c>
      <c r="F14" s="114">
        <v>0.0</v>
      </c>
      <c r="G14" s="115">
        <f t="shared" si="3"/>
        <v>108.1999989</v>
      </c>
      <c r="I14" s="25" t="s">
        <v>36</v>
      </c>
      <c r="J14" s="117">
        <f>SUMIFS(E4:E21,C4:C21,"VENDA")</f>
        <v>0</v>
      </c>
      <c r="K14" s="36"/>
    </row>
    <row r="15">
      <c r="B15" s="112">
        <v>46205.0</v>
      </c>
      <c r="C15" s="113" t="s">
        <v>73</v>
      </c>
      <c r="D15" s="113">
        <v>0.41619249</v>
      </c>
      <c r="E15" s="114">
        <v>307.55</v>
      </c>
      <c r="F15" s="114">
        <v>0.0</v>
      </c>
      <c r="G15" s="115">
        <f t="shared" si="3"/>
        <v>128.0000003</v>
      </c>
      <c r="I15" s="7" t="s">
        <v>37</v>
      </c>
      <c r="J15" s="117">
        <f>SUM(F4:F21)</f>
        <v>0</v>
      </c>
      <c r="K15" s="36"/>
    </row>
    <row r="16">
      <c r="B16" s="112">
        <v>46205.0</v>
      </c>
      <c r="C16" s="113" t="s">
        <v>73</v>
      </c>
      <c r="D16" s="113">
        <v>0.41651752</v>
      </c>
      <c r="E16" s="114">
        <v>307.31</v>
      </c>
      <c r="F16" s="114">
        <v>0.0</v>
      </c>
      <c r="G16" s="115">
        <f t="shared" si="3"/>
        <v>127.9999991</v>
      </c>
      <c r="I16" s="25" t="s">
        <v>10</v>
      </c>
      <c r="J16" s="117">
        <f>IF(J10&lt;&gt;0,((J13+J15)/J10),"")</f>
        <v>224.9612501</v>
      </c>
      <c r="K16" s="36"/>
    </row>
    <row r="17">
      <c r="B17" s="30"/>
      <c r="C17" s="31"/>
      <c r="D17" s="31"/>
      <c r="E17" s="31"/>
      <c r="F17" s="31"/>
      <c r="G17" s="115">
        <f t="shared" si="3"/>
        <v>0</v>
      </c>
      <c r="K17" s="36"/>
    </row>
    <row r="18">
      <c r="B18" s="30"/>
      <c r="C18" s="31"/>
      <c r="D18" s="31"/>
      <c r="E18" s="31"/>
      <c r="F18" s="31"/>
      <c r="G18" s="115">
        <f t="shared" si="3"/>
        <v>0</v>
      </c>
      <c r="K18" s="36"/>
    </row>
    <row r="19">
      <c r="B19" s="30"/>
      <c r="C19" s="31"/>
      <c r="D19" s="31"/>
      <c r="E19" s="31"/>
      <c r="F19" s="31"/>
      <c r="G19" s="115">
        <f t="shared" si="3"/>
        <v>0</v>
      </c>
      <c r="K19" s="36"/>
    </row>
    <row r="20">
      <c r="B20" s="30"/>
      <c r="C20" s="31"/>
      <c r="D20" s="31"/>
      <c r="E20" s="31"/>
      <c r="F20" s="31"/>
      <c r="G20" s="115">
        <f t="shared" si="3"/>
        <v>0</v>
      </c>
      <c r="K20" s="36"/>
    </row>
    <row r="21">
      <c r="B21" s="38"/>
      <c r="C21" s="39"/>
      <c r="D21" s="39"/>
      <c r="E21" s="39"/>
      <c r="F21" s="39"/>
      <c r="G21" s="115">
        <f t="shared" si="3"/>
        <v>0</v>
      </c>
      <c r="H21" s="40"/>
      <c r="I21" s="40"/>
      <c r="J21" s="40"/>
      <c r="K21" s="41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74</v>
      </c>
      <c r="D2" s="3" t="s">
        <v>24</v>
      </c>
      <c r="E2" s="5"/>
      <c r="F2" s="21" t="str">
        <f>IFERROR(__xludf.DUMMYFUNCTION("IF(C2="""","""",GOOGLEFINANCE(C2,""Name""))"),"Netflix Inc")</f>
        <v>Netflix Inc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112">
        <v>45848.0</v>
      </c>
      <c r="C4" s="113" t="s">
        <v>73</v>
      </c>
      <c r="D4" s="113">
        <v>1.9168564</v>
      </c>
      <c r="E4" s="114">
        <v>125.205</v>
      </c>
      <c r="F4" s="114">
        <v>0.0</v>
      </c>
      <c r="G4" s="114">
        <v>240.0</v>
      </c>
      <c r="H4" s="32" t="str">
        <f>IFERROR(__xludf.DUMMYFUNCTION("IF(C2="""","""",SPARKLINE(GOOGLEFINANCE(C2,""price"",TODAY()-K4,TODAY())))"),"")</f>
        <v/>
      </c>
      <c r="K4" s="33">
        <v>50.0</v>
      </c>
    </row>
    <row r="5">
      <c r="B5" s="112">
        <v>45922.0</v>
      </c>
      <c r="C5" s="113" t="s">
        <v>73</v>
      </c>
      <c r="D5" s="113">
        <v>2.6184844</v>
      </c>
      <c r="E5" s="114">
        <v>122.59</v>
      </c>
      <c r="F5" s="114">
        <v>0.0</v>
      </c>
      <c r="G5" s="114">
        <v>321.0</v>
      </c>
      <c r="K5" s="34"/>
    </row>
    <row r="6">
      <c r="B6" s="116">
        <v>45939.0</v>
      </c>
      <c r="C6" s="113" t="s">
        <v>73</v>
      </c>
      <c r="D6" s="113">
        <v>0.4965001</v>
      </c>
      <c r="E6" s="114">
        <v>122.86</v>
      </c>
      <c r="F6" s="114">
        <v>0.0</v>
      </c>
      <c r="G6" s="114">
        <v>61.0</v>
      </c>
      <c r="H6" s="15"/>
      <c r="I6" s="15"/>
      <c r="J6" s="15"/>
      <c r="K6" s="34"/>
    </row>
    <row r="7">
      <c r="B7" s="112">
        <v>46000.0</v>
      </c>
      <c r="C7" s="113" t="s">
        <v>73</v>
      </c>
      <c r="D7" s="113">
        <v>0.9375</v>
      </c>
      <c r="E7" s="114">
        <v>96.0</v>
      </c>
      <c r="F7" s="114">
        <v>0.0</v>
      </c>
      <c r="G7" s="115">
        <f t="shared" ref="G7:G21" si="1">E7*D7</f>
        <v>90</v>
      </c>
      <c r="K7" s="35"/>
    </row>
    <row r="8">
      <c r="B8" s="116">
        <v>46051.0</v>
      </c>
      <c r="C8" s="113" t="s">
        <v>73</v>
      </c>
      <c r="D8" s="113">
        <v>1.15939233</v>
      </c>
      <c r="E8" s="114">
        <v>82.94</v>
      </c>
      <c r="F8" s="114">
        <v>0.0</v>
      </c>
      <c r="G8" s="115">
        <f t="shared" si="1"/>
        <v>96.15999985</v>
      </c>
      <c r="K8" s="36"/>
    </row>
    <row r="9">
      <c r="B9" s="112">
        <v>46087.0</v>
      </c>
      <c r="C9" s="113" t="s">
        <v>73</v>
      </c>
      <c r="D9" s="113">
        <v>1.09892342</v>
      </c>
      <c r="E9" s="114">
        <v>98.46</v>
      </c>
      <c r="F9" s="114">
        <v>0.0</v>
      </c>
      <c r="G9" s="115">
        <f t="shared" si="1"/>
        <v>108.1999999</v>
      </c>
      <c r="K9" s="36"/>
    </row>
    <row r="10">
      <c r="B10" s="112"/>
      <c r="C10" s="113"/>
      <c r="D10" s="113"/>
      <c r="E10" s="114"/>
      <c r="F10" s="114"/>
      <c r="G10" s="115">
        <f t="shared" si="1"/>
        <v>0</v>
      </c>
      <c r="I10" s="25" t="s">
        <v>32</v>
      </c>
      <c r="J10" s="32">
        <f>SUMIFS(D3:D20,C3:C20,"COMPRA")</f>
        <v>8.22765665</v>
      </c>
      <c r="K10" s="36"/>
    </row>
    <row r="11">
      <c r="B11" s="112"/>
      <c r="C11" s="113"/>
      <c r="D11" s="113"/>
      <c r="E11" s="114"/>
      <c r="F11" s="114"/>
      <c r="G11" s="115">
        <f t="shared" si="1"/>
        <v>0</v>
      </c>
      <c r="I11" s="25" t="s">
        <v>33</v>
      </c>
      <c r="J11" s="32">
        <f>SUMIFS(D4:D21,C4:C21,"VENDA")</f>
        <v>0</v>
      </c>
      <c r="K11" s="36"/>
    </row>
    <row r="12">
      <c r="B12" s="112"/>
      <c r="C12" s="113"/>
      <c r="D12" s="113"/>
      <c r="E12" s="114"/>
      <c r="F12" s="114"/>
      <c r="G12" s="115">
        <f t="shared" si="1"/>
        <v>0</v>
      </c>
      <c r="I12" s="25" t="s">
        <v>34</v>
      </c>
      <c r="J12" s="118">
        <f>J10-J11</f>
        <v>8.22765665</v>
      </c>
      <c r="K12" s="36"/>
    </row>
    <row r="13">
      <c r="B13" s="30"/>
      <c r="C13" s="31"/>
      <c r="D13" s="31"/>
      <c r="E13" s="31"/>
      <c r="F13" s="31"/>
      <c r="G13" s="115">
        <f t="shared" si="1"/>
        <v>0</v>
      </c>
      <c r="I13" s="25" t="s">
        <v>35</v>
      </c>
      <c r="J13" s="117">
        <f>SUMIFS(G4:G21,C4:C21,"COMPRA")</f>
        <v>916.3599998</v>
      </c>
      <c r="K13" s="36"/>
    </row>
    <row r="14">
      <c r="B14" s="30"/>
      <c r="C14" s="31"/>
      <c r="D14" s="31"/>
      <c r="E14" s="31"/>
      <c r="F14" s="31"/>
      <c r="G14" s="115">
        <f t="shared" si="1"/>
        <v>0</v>
      </c>
      <c r="I14" s="25" t="s">
        <v>36</v>
      </c>
      <c r="J14" s="117">
        <f>SUMIFS(E4:E21,C4:C21,"VENDA")</f>
        <v>0</v>
      </c>
      <c r="K14" s="36"/>
    </row>
    <row r="15">
      <c r="B15" s="30"/>
      <c r="C15" s="31"/>
      <c r="D15" s="31"/>
      <c r="E15" s="31"/>
      <c r="F15" s="31"/>
      <c r="G15" s="115">
        <f t="shared" si="1"/>
        <v>0</v>
      </c>
      <c r="I15" s="7" t="s">
        <v>37</v>
      </c>
      <c r="J15" s="117">
        <f>SUM(F4:F21)</f>
        <v>0</v>
      </c>
      <c r="K15" s="36"/>
    </row>
    <row r="16">
      <c r="B16" s="30"/>
      <c r="C16" s="31"/>
      <c r="D16" s="31"/>
      <c r="E16" s="31"/>
      <c r="F16" s="31"/>
      <c r="G16" s="115">
        <f t="shared" si="1"/>
        <v>0</v>
      </c>
      <c r="I16" s="25" t="s">
        <v>10</v>
      </c>
      <c r="J16" s="117">
        <f>IF(J10&lt;&gt;0,((J13+J15)/J10),"")</f>
        <v>111.3755762</v>
      </c>
      <c r="K16" s="36"/>
    </row>
    <row r="17">
      <c r="B17" s="30"/>
      <c r="C17" s="31"/>
      <c r="D17" s="31"/>
      <c r="E17" s="31"/>
      <c r="F17" s="31"/>
      <c r="G17" s="115">
        <f t="shared" si="1"/>
        <v>0</v>
      </c>
      <c r="K17" s="36"/>
    </row>
    <row r="18">
      <c r="B18" s="30"/>
      <c r="C18" s="31"/>
      <c r="D18" s="31"/>
      <c r="E18" s="31"/>
      <c r="F18" s="31"/>
      <c r="G18" s="115">
        <f t="shared" si="1"/>
        <v>0</v>
      </c>
      <c r="K18" s="36"/>
    </row>
    <row r="19">
      <c r="B19" s="30"/>
      <c r="C19" s="31"/>
      <c r="D19" s="31"/>
      <c r="E19" s="31"/>
      <c r="F19" s="31"/>
      <c r="G19" s="115">
        <f t="shared" si="1"/>
        <v>0</v>
      </c>
      <c r="K19" s="36"/>
    </row>
    <row r="20">
      <c r="B20" s="30"/>
      <c r="C20" s="31"/>
      <c r="D20" s="31"/>
      <c r="E20" s="31"/>
      <c r="F20" s="31"/>
      <c r="G20" s="115">
        <f t="shared" si="1"/>
        <v>0</v>
      </c>
      <c r="K20" s="36"/>
    </row>
    <row r="21">
      <c r="B21" s="38"/>
      <c r="C21" s="39"/>
      <c r="D21" s="39"/>
      <c r="E21" s="39"/>
      <c r="F21" s="39"/>
      <c r="G21" s="115">
        <f t="shared" si="1"/>
        <v>0</v>
      </c>
      <c r="H21" s="40"/>
      <c r="I21" s="40"/>
      <c r="J21" s="40"/>
      <c r="K21" s="41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75</v>
      </c>
      <c r="D2" s="3" t="s">
        <v>24</v>
      </c>
      <c r="E2" s="5"/>
      <c r="F2" s="21" t="str">
        <f>IFERROR(__xludf.DUMMYFUNCTION("IF(C2="""","""",GOOGLEFINANCE(C2,""Name""))"),"Meta Platforms Inc")</f>
        <v>Meta Platforms Inc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112">
        <v>45848.0</v>
      </c>
      <c r="C4" s="113" t="s">
        <v>73</v>
      </c>
      <c r="D4" s="113">
        <v>0.33116238</v>
      </c>
      <c r="E4" s="114">
        <v>724.72</v>
      </c>
      <c r="F4" s="114">
        <v>0.0</v>
      </c>
      <c r="G4" s="115">
        <f t="shared" ref="G4:G21" si="1">E4*D4</f>
        <v>240</v>
      </c>
      <c r="H4" s="32" t="str">
        <f>IFERROR(__xludf.DUMMYFUNCTION("IF(C2="""","""",SPARKLINE(GOOGLEFINANCE(C2,""price"",TODAY()-K4,TODAY())))"),"")</f>
        <v/>
      </c>
      <c r="K4" s="33">
        <v>60.0</v>
      </c>
    </row>
    <row r="5">
      <c r="B5" s="112">
        <v>45922.0</v>
      </c>
      <c r="C5" s="113" t="s">
        <v>73</v>
      </c>
      <c r="D5" s="113">
        <v>0.41643423</v>
      </c>
      <c r="E5" s="114">
        <v>770.83</v>
      </c>
      <c r="F5" s="114">
        <v>0.0</v>
      </c>
      <c r="G5" s="115">
        <f t="shared" si="1"/>
        <v>320.9999975</v>
      </c>
      <c r="K5" s="34"/>
    </row>
    <row r="6">
      <c r="B6" s="112">
        <v>45939.0</v>
      </c>
      <c r="C6" s="113" t="s">
        <v>73</v>
      </c>
      <c r="D6" s="113">
        <v>0.08473399</v>
      </c>
      <c r="E6" s="114">
        <v>719.9</v>
      </c>
      <c r="F6" s="114">
        <v>0.0</v>
      </c>
      <c r="G6" s="115">
        <f t="shared" si="1"/>
        <v>60.9999994</v>
      </c>
      <c r="H6" s="15"/>
      <c r="I6" s="15"/>
      <c r="J6" s="15"/>
      <c r="K6" s="34"/>
    </row>
    <row r="7">
      <c r="B7" s="112">
        <v>46000.0</v>
      </c>
      <c r="C7" s="113" t="s">
        <v>73</v>
      </c>
      <c r="D7" s="113">
        <v>0.13712405</v>
      </c>
      <c r="E7" s="114">
        <v>656.34</v>
      </c>
      <c r="F7" s="114">
        <v>0.0</v>
      </c>
      <c r="G7" s="115">
        <f t="shared" si="1"/>
        <v>89.99999898</v>
      </c>
      <c r="K7" s="35"/>
    </row>
    <row r="8">
      <c r="B8" s="116">
        <v>46051.0</v>
      </c>
      <c r="C8" s="113" t="s">
        <v>73</v>
      </c>
      <c r="D8" s="113">
        <v>0.13156563</v>
      </c>
      <c r="E8" s="114">
        <v>730.89</v>
      </c>
      <c r="F8" s="114">
        <v>0.0</v>
      </c>
      <c r="G8" s="115">
        <f t="shared" si="1"/>
        <v>96.16000331</v>
      </c>
      <c r="K8" s="36"/>
    </row>
    <row r="9">
      <c r="B9" s="112">
        <v>46087.0</v>
      </c>
      <c r="C9" s="113" t="s">
        <v>73</v>
      </c>
      <c r="D9" s="113">
        <v>0.16757527</v>
      </c>
      <c r="E9" s="114">
        <v>645.68</v>
      </c>
      <c r="F9" s="114">
        <v>0.0</v>
      </c>
      <c r="G9" s="115">
        <f t="shared" si="1"/>
        <v>108.2000003</v>
      </c>
      <c r="K9" s="36"/>
    </row>
    <row r="10">
      <c r="B10" s="112"/>
      <c r="C10" s="113"/>
      <c r="D10" s="31"/>
      <c r="E10" s="114"/>
      <c r="F10" s="114"/>
      <c r="G10" s="115">
        <f t="shared" si="1"/>
        <v>0</v>
      </c>
      <c r="I10" s="25" t="s">
        <v>32</v>
      </c>
      <c r="J10" s="32">
        <f>SUMIFS(D3:D20,C3:C20,"COMPRA")</f>
        <v>1.26859555</v>
      </c>
      <c r="K10" s="36"/>
    </row>
    <row r="11">
      <c r="B11" s="112"/>
      <c r="C11" s="113"/>
      <c r="D11" s="31"/>
      <c r="E11" s="114"/>
      <c r="F11" s="114"/>
      <c r="G11" s="115">
        <f t="shared" si="1"/>
        <v>0</v>
      </c>
      <c r="I11" s="25" t="s">
        <v>33</v>
      </c>
      <c r="J11" s="32">
        <f>SUMIFS(D4:D21,C4:C21,"VENDA")</f>
        <v>0</v>
      </c>
      <c r="K11" s="36"/>
    </row>
    <row r="12">
      <c r="B12" s="112"/>
      <c r="C12" s="113"/>
      <c r="D12" s="113"/>
      <c r="E12" s="114"/>
      <c r="F12" s="114"/>
      <c r="G12" s="115">
        <f t="shared" si="1"/>
        <v>0</v>
      </c>
      <c r="I12" s="25" t="s">
        <v>34</v>
      </c>
      <c r="J12" s="119">
        <f>J10-J11</f>
        <v>1.26859555</v>
      </c>
      <c r="K12" s="36"/>
    </row>
    <row r="13">
      <c r="B13" s="30"/>
      <c r="C13" s="31"/>
      <c r="D13" s="31"/>
      <c r="E13" s="31"/>
      <c r="F13" s="31"/>
      <c r="G13" s="115">
        <f t="shared" si="1"/>
        <v>0</v>
      </c>
      <c r="I13" s="25" t="s">
        <v>35</v>
      </c>
      <c r="J13" s="117">
        <f>SUMIFS(G4:G21,C4:C21,"COMPRA")</f>
        <v>916.3599996</v>
      </c>
      <c r="K13" s="36"/>
    </row>
    <row r="14">
      <c r="B14" s="30"/>
      <c r="C14" s="31"/>
      <c r="D14" s="31"/>
      <c r="E14" s="31"/>
      <c r="F14" s="31"/>
      <c r="G14" s="115">
        <f t="shared" si="1"/>
        <v>0</v>
      </c>
      <c r="I14" s="25" t="s">
        <v>36</v>
      </c>
      <c r="J14" s="117">
        <f>SUMIFS(E4:E21,C4:C21,"VENDA")</f>
        <v>0</v>
      </c>
      <c r="K14" s="36"/>
    </row>
    <row r="15">
      <c r="B15" s="30"/>
      <c r="C15" s="31"/>
      <c r="D15" s="31"/>
      <c r="E15" s="31"/>
      <c r="F15" s="31"/>
      <c r="G15" s="115">
        <f t="shared" si="1"/>
        <v>0</v>
      </c>
      <c r="I15" s="7" t="s">
        <v>37</v>
      </c>
      <c r="J15" s="117">
        <f>SUM(F4:F21)</f>
        <v>0</v>
      </c>
      <c r="K15" s="36"/>
    </row>
    <row r="16">
      <c r="B16" s="30"/>
      <c r="C16" s="31"/>
      <c r="D16" s="31"/>
      <c r="E16" s="31"/>
      <c r="F16" s="31"/>
      <c r="G16" s="115">
        <f t="shared" si="1"/>
        <v>0</v>
      </c>
      <c r="I16" s="25" t="s">
        <v>10</v>
      </c>
      <c r="J16" s="117">
        <f>IF(J10&lt;&gt;0,((J13+J15)/J10),"")</f>
        <v>722.3421204</v>
      </c>
      <c r="K16" s="36"/>
    </row>
    <row r="17">
      <c r="B17" s="30"/>
      <c r="C17" s="31"/>
      <c r="D17" s="31"/>
      <c r="E17" s="31"/>
      <c r="F17" s="31"/>
      <c r="G17" s="115">
        <f t="shared" si="1"/>
        <v>0</v>
      </c>
      <c r="K17" s="36"/>
    </row>
    <row r="18">
      <c r="B18" s="30"/>
      <c r="C18" s="31"/>
      <c r="D18" s="31"/>
      <c r="E18" s="31"/>
      <c r="F18" s="31"/>
      <c r="G18" s="115">
        <f t="shared" si="1"/>
        <v>0</v>
      </c>
      <c r="K18" s="36"/>
    </row>
    <row r="19">
      <c r="B19" s="30"/>
      <c r="C19" s="31"/>
      <c r="D19" s="31"/>
      <c r="E19" s="31"/>
      <c r="F19" s="31"/>
      <c r="G19" s="115">
        <f t="shared" si="1"/>
        <v>0</v>
      </c>
      <c r="K19" s="36"/>
    </row>
    <row r="20">
      <c r="B20" s="30"/>
      <c r="C20" s="31"/>
      <c r="D20" s="31"/>
      <c r="E20" s="31"/>
      <c r="F20" s="31"/>
      <c r="G20" s="115">
        <f t="shared" si="1"/>
        <v>0</v>
      </c>
      <c r="K20" s="36"/>
    </row>
    <row r="21">
      <c r="B21" s="38"/>
      <c r="C21" s="39"/>
      <c r="D21" s="39"/>
      <c r="E21" s="39"/>
      <c r="F21" s="39"/>
      <c r="G21" s="115">
        <f t="shared" si="1"/>
        <v>0</v>
      </c>
      <c r="H21" s="40"/>
      <c r="I21" s="40"/>
      <c r="J21" s="40"/>
      <c r="K21" s="41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76</v>
      </c>
      <c r="D2" s="3" t="s">
        <v>24</v>
      </c>
      <c r="E2" s="5"/>
      <c r="F2" s="21" t="str">
        <f>IFERROR(__xludf.DUMMYFUNCTION("IF(C2="""","""",GOOGLEFINANCE(C2,""Name""))"),"Fastenal Co")</f>
        <v>Fastenal Co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112">
        <v>44630.0</v>
      </c>
      <c r="C4" s="113" t="s">
        <v>73</v>
      </c>
      <c r="D4" s="113">
        <v>2.0</v>
      </c>
      <c r="E4" s="114">
        <v>27.15</v>
      </c>
      <c r="F4" s="114">
        <v>0.0</v>
      </c>
      <c r="G4" s="115">
        <f t="shared" ref="G4:G5" si="1">E4*D4</f>
        <v>54.3</v>
      </c>
      <c r="H4" s="32" t="str">
        <f>IFERROR(__xludf.DUMMYFUNCTION("IF(C2="""","""",SPARKLINE(GOOGLEFINANCE(C2,""price"",TODAY()-K4,TODAY())))"),"")</f>
        <v/>
      </c>
      <c r="K4" s="33">
        <v>30.0</v>
      </c>
    </row>
    <row r="5">
      <c r="B5" s="112">
        <v>44841.0</v>
      </c>
      <c r="C5" s="113" t="s">
        <v>73</v>
      </c>
      <c r="D5" s="113">
        <v>2.0</v>
      </c>
      <c r="E5" s="114">
        <v>23.15</v>
      </c>
      <c r="F5" s="114">
        <v>0.0</v>
      </c>
      <c r="G5" s="115">
        <f t="shared" si="1"/>
        <v>46.3</v>
      </c>
      <c r="K5" s="34"/>
    </row>
    <row r="6">
      <c r="B6" s="116">
        <v>45246.0</v>
      </c>
      <c r="C6" s="113" t="s">
        <v>73</v>
      </c>
      <c r="D6" s="113">
        <v>2.0</v>
      </c>
      <c r="E6" s="114">
        <v>30.285</v>
      </c>
      <c r="F6" s="114">
        <v>0.3</v>
      </c>
      <c r="G6" s="115">
        <f t="shared" ref="G6:G10" si="2">(E6*D6)+F6</f>
        <v>60.87</v>
      </c>
      <c r="H6" s="15"/>
      <c r="I6" s="15"/>
      <c r="J6" s="15"/>
      <c r="K6" s="34"/>
    </row>
    <row r="7">
      <c r="B7" s="112">
        <v>45505.0</v>
      </c>
      <c r="C7" s="113" t="s">
        <v>73</v>
      </c>
      <c r="D7" s="113">
        <v>1.8</v>
      </c>
      <c r="E7" s="114">
        <v>33.835</v>
      </c>
      <c r="F7" s="114">
        <v>0.0</v>
      </c>
      <c r="G7" s="115">
        <f t="shared" si="2"/>
        <v>60.903</v>
      </c>
      <c r="K7" s="35"/>
    </row>
    <row r="8">
      <c r="B8" s="112">
        <v>45551.0</v>
      </c>
      <c r="C8" s="113" t="s">
        <v>73</v>
      </c>
      <c r="D8" s="113">
        <v>0.86</v>
      </c>
      <c r="E8" s="114">
        <v>34.965</v>
      </c>
      <c r="F8" s="114">
        <v>0.0</v>
      </c>
      <c r="G8" s="115">
        <f t="shared" si="2"/>
        <v>30.0699</v>
      </c>
      <c r="K8" s="36"/>
    </row>
    <row r="9">
      <c r="B9" s="116">
        <v>45595.0</v>
      </c>
      <c r="C9" s="113" t="s">
        <v>73</v>
      </c>
      <c r="D9" s="113">
        <v>2.9444</v>
      </c>
      <c r="E9" s="114">
        <v>39.055</v>
      </c>
      <c r="F9" s="114">
        <v>0.0</v>
      </c>
      <c r="G9" s="115">
        <f t="shared" si="2"/>
        <v>114.993542</v>
      </c>
      <c r="K9" s="36"/>
    </row>
    <row r="10">
      <c r="B10" s="112">
        <v>45628.0</v>
      </c>
      <c r="C10" s="113" t="s">
        <v>73</v>
      </c>
      <c r="D10" s="113">
        <v>1.304</v>
      </c>
      <c r="E10" s="114">
        <v>41.405</v>
      </c>
      <c r="F10" s="114">
        <v>0.0</v>
      </c>
      <c r="G10" s="115">
        <f t="shared" si="2"/>
        <v>53.99212</v>
      </c>
      <c r="I10" s="25" t="s">
        <v>32</v>
      </c>
      <c r="J10" s="32">
        <f>SUMIFS(D4:D21,C4:C21,"COMPRA")</f>
        <v>32.42390252</v>
      </c>
      <c r="K10" s="36"/>
    </row>
    <row r="11">
      <c r="B11" s="112">
        <v>45667.0</v>
      </c>
      <c r="C11" s="113" t="s">
        <v>73</v>
      </c>
      <c r="D11" s="113">
        <v>2.0372130924894747</v>
      </c>
      <c r="E11" s="114">
        <v>36.815</v>
      </c>
      <c r="F11" s="114">
        <v>0.0</v>
      </c>
      <c r="G11" s="114">
        <v>75.0</v>
      </c>
      <c r="I11" s="25" t="s">
        <v>33</v>
      </c>
      <c r="J11" s="32">
        <f>SUMIFS(D4:D21,C4:C21,"VENDA")</f>
        <v>0</v>
      </c>
      <c r="K11" s="36"/>
    </row>
    <row r="12">
      <c r="B12" s="112">
        <v>45758.0</v>
      </c>
      <c r="C12" s="113" t="s">
        <v>73</v>
      </c>
      <c r="D12" s="113">
        <v>1.2628451157608023</v>
      </c>
      <c r="E12" s="114">
        <v>40.385</v>
      </c>
      <c r="F12" s="114">
        <v>0.0</v>
      </c>
      <c r="G12" s="114">
        <v>51.0</v>
      </c>
      <c r="I12" s="25" t="s">
        <v>34</v>
      </c>
      <c r="J12" s="32">
        <f>J10-J11</f>
        <v>32.42390252</v>
      </c>
      <c r="K12" s="36"/>
    </row>
    <row r="13">
      <c r="B13" s="112">
        <v>45848.0</v>
      </c>
      <c r="C13" s="113" t="s">
        <v>73</v>
      </c>
      <c r="D13" s="113">
        <v>5.49977179</v>
      </c>
      <c r="E13" s="114">
        <v>43.82</v>
      </c>
      <c r="F13" s="114">
        <v>0.0</v>
      </c>
      <c r="G13" s="115">
        <f t="shared" ref="G13:G21" si="3">(E13*D13)+F13</f>
        <v>240.9999998</v>
      </c>
      <c r="I13" s="25" t="s">
        <v>35</v>
      </c>
      <c r="J13" s="117">
        <f>SUMIFS(G4:G21,C4:C21,"COMPRA")</f>
        <v>1271.788562</v>
      </c>
      <c r="K13" s="36"/>
    </row>
    <row r="14">
      <c r="B14" s="112">
        <v>45939.0</v>
      </c>
      <c r="C14" s="113" t="s">
        <v>73</v>
      </c>
      <c r="D14" s="113">
        <v>1.30202775</v>
      </c>
      <c r="E14" s="114">
        <v>46.85</v>
      </c>
      <c r="F14" s="114">
        <v>0.0</v>
      </c>
      <c r="G14" s="115">
        <f t="shared" si="3"/>
        <v>61.00000009</v>
      </c>
      <c r="I14" s="25" t="s">
        <v>36</v>
      </c>
      <c r="J14" s="117">
        <f>SUMIFS(E4:E21,C4:C21,"VENDA")</f>
        <v>0</v>
      </c>
      <c r="K14" s="36"/>
    </row>
    <row r="15">
      <c r="B15" s="112">
        <v>46000.0</v>
      </c>
      <c r="C15" s="113" t="s">
        <v>73</v>
      </c>
      <c r="D15" s="113">
        <v>2.2178413</v>
      </c>
      <c r="E15" s="114">
        <v>40.58</v>
      </c>
      <c r="F15" s="114">
        <v>0.0</v>
      </c>
      <c r="G15" s="115">
        <f t="shared" si="3"/>
        <v>89.99999995</v>
      </c>
      <c r="I15" s="7" t="s">
        <v>37</v>
      </c>
      <c r="J15" s="117">
        <f>SUM(F4:F21)</f>
        <v>0.3</v>
      </c>
      <c r="K15" s="36"/>
    </row>
    <row r="16">
      <c r="B16" s="112">
        <v>46051.0</v>
      </c>
      <c r="C16" s="113" t="s">
        <v>73</v>
      </c>
      <c r="D16" s="113">
        <v>2.21108301</v>
      </c>
      <c r="E16" s="114">
        <v>43.49</v>
      </c>
      <c r="F16" s="114">
        <v>0.0</v>
      </c>
      <c r="G16" s="115">
        <f t="shared" si="3"/>
        <v>96.1600001</v>
      </c>
      <c r="I16" s="25" t="s">
        <v>10</v>
      </c>
      <c r="J16" s="117">
        <f>IF(J10&lt;&gt;0,((J13+J15)/J10),"")</f>
        <v>39.23304918</v>
      </c>
      <c r="K16" s="36"/>
    </row>
    <row r="17">
      <c r="B17" s="112">
        <v>46087.0</v>
      </c>
      <c r="C17" s="113" t="s">
        <v>73</v>
      </c>
      <c r="D17" s="113">
        <v>2.3455452</v>
      </c>
      <c r="E17" s="114">
        <v>46.13</v>
      </c>
      <c r="F17" s="114">
        <v>0.0</v>
      </c>
      <c r="G17" s="115">
        <f t="shared" si="3"/>
        <v>108.2000001</v>
      </c>
      <c r="K17" s="36"/>
    </row>
    <row r="18">
      <c r="B18" s="122">
        <v>46205.0</v>
      </c>
      <c r="C18" s="113" t="s">
        <v>73</v>
      </c>
      <c r="D18" s="113">
        <v>2.63917526</v>
      </c>
      <c r="E18" s="114">
        <v>48.5</v>
      </c>
      <c r="F18" s="114">
        <v>0.0</v>
      </c>
      <c r="G18" s="115">
        <f t="shared" si="3"/>
        <v>128.0000001</v>
      </c>
      <c r="K18" s="36"/>
    </row>
    <row r="19">
      <c r="B19" s="30"/>
      <c r="C19" s="31"/>
      <c r="D19" s="31"/>
      <c r="E19" s="31"/>
      <c r="F19" s="31"/>
      <c r="G19" s="115">
        <f t="shared" si="3"/>
        <v>0</v>
      </c>
      <c r="K19" s="36"/>
    </row>
    <row r="20">
      <c r="B20" s="30"/>
      <c r="C20" s="31"/>
      <c r="D20" s="31"/>
      <c r="E20" s="31"/>
      <c r="F20" s="31"/>
      <c r="G20" s="115">
        <f t="shared" si="3"/>
        <v>0</v>
      </c>
      <c r="K20" s="36"/>
    </row>
    <row r="21">
      <c r="B21" s="38"/>
      <c r="C21" s="39"/>
      <c r="D21" s="39"/>
      <c r="E21" s="39"/>
      <c r="F21" s="39"/>
      <c r="G21" s="115">
        <f t="shared" si="3"/>
        <v>0</v>
      </c>
      <c r="H21" s="40"/>
      <c r="I21" s="40"/>
      <c r="J21" s="40"/>
      <c r="K21" s="41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77</v>
      </c>
      <c r="D2" s="3" t="s">
        <v>24</v>
      </c>
      <c r="E2" s="5"/>
      <c r="F2" s="21" t="str">
        <f>IFERROR(__xludf.DUMMYFUNCTION("IF(C2="""","""",GOOGLEFINANCE(C2,""Name""))"),"Coca-Cola Co")</f>
        <v>Coca-Cola Co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112">
        <v>44630.0</v>
      </c>
      <c r="C4" s="113" t="s">
        <v>73</v>
      </c>
      <c r="D4" s="113">
        <v>1.0</v>
      </c>
      <c r="E4" s="120">
        <v>57.57</v>
      </c>
      <c r="F4" s="114">
        <v>0.0</v>
      </c>
      <c r="G4" s="121">
        <f t="shared" ref="G4:G8" si="1">E4*D4</f>
        <v>57.57</v>
      </c>
      <c r="H4" s="32" t="str">
        <f>IFERROR(__xludf.DUMMYFUNCTION("IF(C2="""","""",SPARKLINE(GOOGLEFINANCE(C2,""price"",TODAY()-K4,TODAY())))"),"")</f>
        <v/>
      </c>
      <c r="K4" s="33">
        <v>30.0</v>
      </c>
    </row>
    <row r="5">
      <c r="B5" s="112">
        <v>44841.0</v>
      </c>
      <c r="C5" s="113" t="s">
        <v>73</v>
      </c>
      <c r="D5" s="113">
        <v>1.0</v>
      </c>
      <c r="E5" s="120">
        <v>54.79</v>
      </c>
      <c r="F5" s="114">
        <v>0.0</v>
      </c>
      <c r="G5" s="121">
        <f t="shared" si="1"/>
        <v>54.79</v>
      </c>
      <c r="K5" s="34"/>
    </row>
    <row r="6">
      <c r="B6" s="116">
        <v>45246.0</v>
      </c>
      <c r="C6" s="113" t="s">
        <v>73</v>
      </c>
      <c r="D6" s="113">
        <v>1.98880335</v>
      </c>
      <c r="E6" s="120">
        <v>57.16</v>
      </c>
      <c r="F6" s="114">
        <v>0.0</v>
      </c>
      <c r="G6" s="121">
        <f t="shared" si="1"/>
        <v>113.6799995</v>
      </c>
      <c r="H6" s="15"/>
      <c r="I6" s="15"/>
      <c r="J6" s="15"/>
      <c r="K6" s="34"/>
    </row>
    <row r="7">
      <c r="B7" s="116">
        <v>45595.0</v>
      </c>
      <c r="C7" s="113" t="s">
        <v>73</v>
      </c>
      <c r="D7" s="113">
        <v>1.70081338</v>
      </c>
      <c r="E7" s="120">
        <v>66.42</v>
      </c>
      <c r="F7" s="114">
        <v>0.0</v>
      </c>
      <c r="G7" s="121">
        <f t="shared" si="1"/>
        <v>112.9680247</v>
      </c>
      <c r="K7" s="35"/>
    </row>
    <row r="8">
      <c r="B8" s="112">
        <v>45628.0</v>
      </c>
      <c r="C8" s="113" t="s">
        <v>73</v>
      </c>
      <c r="D8" s="113">
        <v>0.85027586</v>
      </c>
      <c r="E8" s="120">
        <v>63.49</v>
      </c>
      <c r="F8" s="114">
        <v>0.0</v>
      </c>
      <c r="G8" s="121">
        <f t="shared" si="1"/>
        <v>53.98401435</v>
      </c>
      <c r="K8" s="36"/>
    </row>
    <row r="9">
      <c r="B9" s="112">
        <v>45667.0</v>
      </c>
      <c r="C9" s="113" t="s">
        <v>73</v>
      </c>
      <c r="D9" s="31">
        <f t="shared" ref="D9:D10" si="2">G9/E9</f>
        <v>1.213592233</v>
      </c>
      <c r="E9" s="120">
        <v>61.8</v>
      </c>
      <c r="F9" s="114">
        <v>0.0</v>
      </c>
      <c r="G9" s="121">
        <v>75.0</v>
      </c>
      <c r="K9" s="36"/>
    </row>
    <row r="10">
      <c r="B10" s="112">
        <v>45758.0</v>
      </c>
      <c r="C10" s="113" t="s">
        <v>73</v>
      </c>
      <c r="D10" s="31">
        <f t="shared" si="2"/>
        <v>0.7114955357</v>
      </c>
      <c r="E10" s="120">
        <v>71.68</v>
      </c>
      <c r="F10" s="114">
        <v>0.0</v>
      </c>
      <c r="G10" s="121">
        <v>51.0</v>
      </c>
      <c r="I10" s="25" t="s">
        <v>32</v>
      </c>
      <c r="J10" s="32">
        <f>SUMIFS(D4:D21,C4:C21,"COMPRA")</f>
        <v>19.25284835</v>
      </c>
      <c r="K10" s="36"/>
    </row>
    <row r="11">
      <c r="B11" s="112">
        <v>45848.0</v>
      </c>
      <c r="C11" s="113" t="s">
        <v>73</v>
      </c>
      <c r="D11" s="113">
        <v>3.42347526</v>
      </c>
      <c r="E11" s="120">
        <v>69.52</v>
      </c>
      <c r="F11" s="114">
        <v>0.0</v>
      </c>
      <c r="G11" s="121">
        <f t="shared" ref="G11:G21" si="3">E11*D11</f>
        <v>238.0000001</v>
      </c>
      <c r="I11" s="25" t="s">
        <v>33</v>
      </c>
      <c r="J11" s="32">
        <f>SUMIFS(D4:D21,C4:C21,"VENDA")</f>
        <v>0</v>
      </c>
      <c r="K11" s="36"/>
    </row>
    <row r="12">
      <c r="B12" s="112">
        <v>45939.0</v>
      </c>
      <c r="C12" s="113" t="s">
        <v>73</v>
      </c>
      <c r="D12" s="113">
        <v>0.9141801</v>
      </c>
      <c r="E12" s="114">
        <v>66.77</v>
      </c>
      <c r="F12" s="114">
        <v>0.0</v>
      </c>
      <c r="G12" s="114">
        <f t="shared" si="3"/>
        <v>61.03980528</v>
      </c>
      <c r="I12" s="25" t="s">
        <v>34</v>
      </c>
      <c r="J12" s="32">
        <f>J10-J11</f>
        <v>19.25284835</v>
      </c>
      <c r="K12" s="36"/>
    </row>
    <row r="13">
      <c r="B13" s="112">
        <v>45939.0</v>
      </c>
      <c r="C13" s="113" t="s">
        <v>73</v>
      </c>
      <c r="D13" s="113">
        <v>0.91442208</v>
      </c>
      <c r="E13" s="114">
        <v>66.77</v>
      </c>
      <c r="F13" s="114">
        <v>0.0</v>
      </c>
      <c r="G13" s="114">
        <f t="shared" si="3"/>
        <v>61.05596228</v>
      </c>
      <c r="I13" s="25" t="s">
        <v>35</v>
      </c>
      <c r="J13" s="117">
        <f>SUMIFS(G4:G21,C4:C21,"COMPRA")</f>
        <v>1301.532286</v>
      </c>
      <c r="K13" s="36"/>
    </row>
    <row r="14">
      <c r="B14" s="112">
        <v>46000.0</v>
      </c>
      <c r="C14" s="113" t="s">
        <v>73</v>
      </c>
      <c r="D14" s="113">
        <v>1.28388017</v>
      </c>
      <c r="E14" s="114">
        <v>70.1</v>
      </c>
      <c r="F14" s="114">
        <v>0.0</v>
      </c>
      <c r="G14" s="121">
        <f t="shared" si="3"/>
        <v>89.99999992</v>
      </c>
      <c r="I14" s="25" t="s">
        <v>36</v>
      </c>
      <c r="J14" s="117">
        <f>SUMIFS(E4:E21,C4:C21,"VENDA")</f>
        <v>0</v>
      </c>
      <c r="K14" s="36"/>
    </row>
    <row r="15">
      <c r="B15" s="112">
        <v>46051.0</v>
      </c>
      <c r="C15" s="113" t="s">
        <v>73</v>
      </c>
      <c r="D15" s="113">
        <v>1.30386441</v>
      </c>
      <c r="E15" s="114">
        <v>73.75</v>
      </c>
      <c r="F15" s="114">
        <v>0.0</v>
      </c>
      <c r="G15" s="121">
        <f t="shared" si="3"/>
        <v>96.16000024</v>
      </c>
      <c r="I15" s="7" t="s">
        <v>37</v>
      </c>
      <c r="J15" s="117">
        <f>SUM(F4:F21)</f>
        <v>0</v>
      </c>
      <c r="K15" s="36"/>
    </row>
    <row r="16">
      <c r="B16" s="112">
        <v>46087.0</v>
      </c>
      <c r="C16" s="113" t="s">
        <v>73</v>
      </c>
      <c r="D16" s="113">
        <v>1.40995417</v>
      </c>
      <c r="E16" s="114">
        <v>76.8</v>
      </c>
      <c r="F16" s="114">
        <v>0.0</v>
      </c>
      <c r="G16" s="121">
        <f t="shared" si="3"/>
        <v>108.2844803</v>
      </c>
      <c r="I16" s="25" t="s">
        <v>10</v>
      </c>
      <c r="J16" s="117">
        <f>IF(J10&lt;&gt;0,((J13+J15)/J10),"")</f>
        <v>67.602064</v>
      </c>
      <c r="K16" s="36"/>
    </row>
    <row r="17">
      <c r="B17" s="112">
        <v>46205.0</v>
      </c>
      <c r="C17" s="113" t="s">
        <v>73</v>
      </c>
      <c r="D17" s="113">
        <v>1.5380918</v>
      </c>
      <c r="E17" s="114">
        <v>83.22</v>
      </c>
      <c r="F17" s="114">
        <v>0.0</v>
      </c>
      <c r="G17" s="121">
        <f t="shared" si="3"/>
        <v>127.9999996</v>
      </c>
      <c r="K17" s="36"/>
    </row>
    <row r="18">
      <c r="B18" s="30"/>
      <c r="C18" s="31"/>
      <c r="D18" s="31"/>
      <c r="E18" s="31"/>
      <c r="F18" s="31"/>
      <c r="G18" s="121">
        <f t="shared" si="3"/>
        <v>0</v>
      </c>
      <c r="K18" s="36"/>
    </row>
    <row r="19">
      <c r="B19" s="30"/>
      <c r="C19" s="31"/>
      <c r="D19" s="31"/>
      <c r="E19" s="31"/>
      <c r="F19" s="31"/>
      <c r="G19" s="121">
        <f t="shared" si="3"/>
        <v>0</v>
      </c>
      <c r="K19" s="36"/>
    </row>
    <row r="20">
      <c r="B20" s="30"/>
      <c r="C20" s="31"/>
      <c r="D20" s="31"/>
      <c r="E20" s="31"/>
      <c r="F20" s="31"/>
      <c r="G20" s="121">
        <f t="shared" si="3"/>
        <v>0</v>
      </c>
      <c r="K20" s="36"/>
    </row>
    <row r="21">
      <c r="B21" s="38"/>
      <c r="C21" s="39"/>
      <c r="D21" s="39"/>
      <c r="E21" s="39"/>
      <c r="F21" s="39"/>
      <c r="G21" s="121">
        <f t="shared" si="3"/>
        <v>0</v>
      </c>
      <c r="H21" s="40"/>
      <c r="I21" s="40"/>
      <c r="J21" s="40"/>
      <c r="K21" s="41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78</v>
      </c>
      <c r="D2" s="3" t="s">
        <v>24</v>
      </c>
      <c r="E2" s="5"/>
      <c r="F2" s="21" t="str">
        <f>IFERROR(__xludf.DUMMYFUNCTION("IF(C2="""","""",GOOGLEFINANCE(C2,""Name""))"),"Amphenol Corp")</f>
        <v>Amphenol Corp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112">
        <v>44630.0</v>
      </c>
      <c r="C4" s="113" t="s">
        <v>73</v>
      </c>
      <c r="D4" s="113">
        <v>2.0</v>
      </c>
      <c r="E4" s="114">
        <v>18.035</v>
      </c>
      <c r="F4" s="114">
        <v>0.0</v>
      </c>
      <c r="G4" s="114">
        <f t="shared" ref="G4:G9" si="1">E4*D4</f>
        <v>36.07</v>
      </c>
      <c r="H4" s="32" t="str">
        <f>IFERROR(__xludf.DUMMYFUNCTION("IF(C2="""","""",SPARKLINE(GOOGLEFINANCE(C2,""price"",TODAY()-K4,TODAY())))"),"")</f>
        <v/>
      </c>
      <c r="K4" s="33">
        <v>30.0</v>
      </c>
    </row>
    <row r="5">
      <c r="B5" s="112">
        <v>45248.0</v>
      </c>
      <c r="C5" s="113" t="s">
        <v>73</v>
      </c>
      <c r="D5" s="113">
        <v>2.0</v>
      </c>
      <c r="E5" s="114">
        <v>22.505</v>
      </c>
      <c r="F5" s="114">
        <v>0.0</v>
      </c>
      <c r="G5" s="114">
        <f t="shared" si="1"/>
        <v>45.01</v>
      </c>
      <c r="K5" s="34"/>
    </row>
    <row r="6">
      <c r="B6" s="112">
        <v>45505.0</v>
      </c>
      <c r="C6" s="113" t="s">
        <v>73</v>
      </c>
      <c r="D6" s="113">
        <v>2.001909</v>
      </c>
      <c r="E6" s="114">
        <v>31.46</v>
      </c>
      <c r="F6" s="114">
        <v>0.0</v>
      </c>
      <c r="G6" s="114">
        <f t="shared" si="1"/>
        <v>62.98005714</v>
      </c>
      <c r="H6" s="15"/>
      <c r="I6" s="15"/>
      <c r="J6" s="15"/>
      <c r="K6" s="34"/>
    </row>
    <row r="7">
      <c r="B7" s="112">
        <v>45551.0</v>
      </c>
      <c r="C7" s="113" t="s">
        <v>73</v>
      </c>
      <c r="D7" s="113">
        <v>0.94652152</v>
      </c>
      <c r="E7" s="114">
        <v>31.685</v>
      </c>
      <c r="F7" s="114">
        <v>0.0</v>
      </c>
      <c r="G7" s="114">
        <f t="shared" si="1"/>
        <v>29.99053436</v>
      </c>
      <c r="K7" s="35"/>
    </row>
    <row r="8">
      <c r="B8" s="116">
        <v>45595.0</v>
      </c>
      <c r="C8" s="113" t="s">
        <v>73</v>
      </c>
      <c r="D8" s="113">
        <v>3.30463466</v>
      </c>
      <c r="E8" s="114">
        <v>34.195</v>
      </c>
      <c r="F8" s="114">
        <v>0.0</v>
      </c>
      <c r="G8" s="114">
        <f t="shared" si="1"/>
        <v>113.0019822</v>
      </c>
      <c r="K8" s="36"/>
    </row>
    <row r="9">
      <c r="B9" s="112">
        <v>45628.0</v>
      </c>
      <c r="C9" s="113" t="s">
        <v>73</v>
      </c>
      <c r="D9" s="113">
        <v>1.461101</v>
      </c>
      <c r="E9" s="114">
        <v>36.915</v>
      </c>
      <c r="F9" s="114">
        <v>0.0</v>
      </c>
      <c r="G9" s="114">
        <f t="shared" si="1"/>
        <v>53.93654342</v>
      </c>
      <c r="K9" s="36"/>
    </row>
    <row r="10">
      <c r="B10" s="112">
        <v>45667.0</v>
      </c>
      <c r="C10" s="113" t="s">
        <v>73</v>
      </c>
      <c r="D10" s="113">
        <v>2.0505809979494187</v>
      </c>
      <c r="E10" s="114">
        <v>36.575</v>
      </c>
      <c r="F10" s="114">
        <v>0.0</v>
      </c>
      <c r="G10" s="114">
        <v>75.0</v>
      </c>
      <c r="I10" s="25" t="s">
        <v>32</v>
      </c>
      <c r="J10" s="119">
        <f>SUMIFS(D4:D21,C4:C21,"COMPRA")</f>
        <v>27.64469783</v>
      </c>
      <c r="K10" s="36"/>
    </row>
    <row r="11">
      <c r="B11" s="112">
        <v>45758.0</v>
      </c>
      <c r="C11" s="113" t="s">
        <v>73</v>
      </c>
      <c r="D11" s="113">
        <v>1.5641772734243216</v>
      </c>
      <c r="E11" s="114">
        <v>32.605</v>
      </c>
      <c r="F11" s="114">
        <v>0.0</v>
      </c>
      <c r="G11" s="114">
        <v>51.0</v>
      </c>
      <c r="I11" s="25" t="s">
        <v>33</v>
      </c>
      <c r="J11" s="32">
        <f>SUMIFS(D4:D21,C4:C21,"VENDA")</f>
        <v>0</v>
      </c>
      <c r="K11" s="36"/>
    </row>
    <row r="12">
      <c r="B12" s="112">
        <v>45848.0</v>
      </c>
      <c r="C12" s="113" t="s">
        <v>73</v>
      </c>
      <c r="D12" s="113">
        <v>4.91757292</v>
      </c>
      <c r="E12" s="114">
        <v>49.195</v>
      </c>
      <c r="F12" s="114">
        <v>0.0</v>
      </c>
      <c r="G12" s="114">
        <f t="shared" ref="G12:G21" si="2">E12*D12</f>
        <v>241.9199998</v>
      </c>
      <c r="I12" s="25" t="s">
        <v>34</v>
      </c>
      <c r="J12" s="32">
        <f>J10-J11</f>
        <v>27.64469783</v>
      </c>
      <c r="K12" s="36"/>
    </row>
    <row r="13">
      <c r="B13" s="112">
        <v>46000.0</v>
      </c>
      <c r="C13" s="113" t="s">
        <v>73</v>
      </c>
      <c r="D13" s="113">
        <v>1.29973284</v>
      </c>
      <c r="E13" s="114">
        <v>69.245</v>
      </c>
      <c r="F13" s="114">
        <v>0.0</v>
      </c>
      <c r="G13" s="114">
        <f t="shared" si="2"/>
        <v>90.00000051</v>
      </c>
      <c r="I13" s="25" t="s">
        <v>35</v>
      </c>
      <c r="J13" s="123">
        <f>SUMIFS(G4:G21,C4:C21,"COMPRA")</f>
        <v>1263.294761</v>
      </c>
      <c r="K13" s="36"/>
    </row>
    <row r="14">
      <c r="B14" s="112">
        <v>46051.0</v>
      </c>
      <c r="C14" s="113" t="s">
        <v>73</v>
      </c>
      <c r="D14" s="113">
        <v>1.27802212</v>
      </c>
      <c r="E14" s="114">
        <v>75.03</v>
      </c>
      <c r="F14" s="114">
        <v>0.0</v>
      </c>
      <c r="G14" s="114">
        <f t="shared" si="2"/>
        <v>95.88999966</v>
      </c>
      <c r="I14" s="25" t="s">
        <v>36</v>
      </c>
      <c r="J14" s="117">
        <f>SUMIFS(E4:E21,C4:C21,"VENDA")</f>
        <v>0</v>
      </c>
      <c r="K14" s="36"/>
    </row>
    <row r="15">
      <c r="B15" s="112">
        <v>46087.0</v>
      </c>
      <c r="C15" s="113" t="s">
        <v>73</v>
      </c>
      <c r="D15" s="113">
        <v>1.62364946</v>
      </c>
      <c r="E15" s="114">
        <v>66.64</v>
      </c>
      <c r="F15" s="114">
        <v>0.0</v>
      </c>
      <c r="G15" s="114">
        <f t="shared" si="2"/>
        <v>108.2</v>
      </c>
      <c r="I15" s="7" t="s">
        <v>37</v>
      </c>
      <c r="J15" s="117">
        <f>SUM(F4:F21)</f>
        <v>0</v>
      </c>
      <c r="K15" s="36"/>
    </row>
    <row r="16">
      <c r="B16" s="112">
        <v>46205.0</v>
      </c>
      <c r="C16" s="113" t="s">
        <v>73</v>
      </c>
      <c r="D16" s="113">
        <v>1.57257816</v>
      </c>
      <c r="E16" s="114">
        <v>81.335</v>
      </c>
      <c r="F16" s="114">
        <v>0.0</v>
      </c>
      <c r="G16" s="114">
        <f t="shared" si="2"/>
        <v>127.9056446</v>
      </c>
      <c r="I16" s="25" t="s">
        <v>10</v>
      </c>
      <c r="J16" s="117">
        <f>IF(J10&lt;&gt;0,((J13+J15)/J10),"")</f>
        <v>45.69754276</v>
      </c>
      <c r="K16" s="36"/>
    </row>
    <row r="17">
      <c r="B17" s="112">
        <v>46209.0</v>
      </c>
      <c r="C17" s="113" t="s">
        <v>73</v>
      </c>
      <c r="D17" s="113">
        <v>1.62421788</v>
      </c>
      <c r="E17" s="114">
        <v>81.51</v>
      </c>
      <c r="F17" s="114">
        <v>0.0</v>
      </c>
      <c r="G17" s="114">
        <f t="shared" si="2"/>
        <v>132.3899994</v>
      </c>
      <c r="K17" s="36"/>
    </row>
    <row r="18">
      <c r="B18" s="30"/>
      <c r="C18" s="31"/>
      <c r="D18" s="31"/>
      <c r="E18" s="31"/>
      <c r="F18" s="31"/>
      <c r="G18" s="114">
        <f t="shared" si="2"/>
        <v>0</v>
      </c>
      <c r="K18" s="36"/>
    </row>
    <row r="19">
      <c r="B19" s="30"/>
      <c r="C19" s="31"/>
      <c r="D19" s="31"/>
      <c r="E19" s="31"/>
      <c r="F19" s="31"/>
      <c r="G19" s="114">
        <f t="shared" si="2"/>
        <v>0</v>
      </c>
      <c r="K19" s="36"/>
    </row>
    <row r="20">
      <c r="B20" s="30"/>
      <c r="C20" s="31"/>
      <c r="D20" s="31"/>
      <c r="E20" s="31"/>
      <c r="F20" s="31"/>
      <c r="G20" s="114">
        <f t="shared" si="2"/>
        <v>0</v>
      </c>
      <c r="K20" s="36"/>
    </row>
    <row r="21">
      <c r="B21" s="38"/>
      <c r="C21" s="39"/>
      <c r="D21" s="39"/>
      <c r="E21" s="39"/>
      <c r="F21" s="39"/>
      <c r="G21" s="114">
        <f t="shared" si="2"/>
        <v>0</v>
      </c>
      <c r="H21" s="40"/>
      <c r="I21" s="40"/>
      <c r="J21" s="40"/>
      <c r="K21" s="41"/>
      <c r="M21" s="119" t="s">
        <v>79</v>
      </c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80</v>
      </c>
      <c r="D2" s="3" t="s">
        <v>24</v>
      </c>
      <c r="E2" s="5"/>
      <c r="F2" s="21" t="str">
        <f>IFERROR(__xludf.DUMMYFUNCTION("IF(C2="""","""",GOOGLEFINANCE(C2,""Name""))"),"Engie Brasil Energia SA")</f>
        <v>Engie Brasil Energia SA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112">
        <v>44628.0</v>
      </c>
      <c r="C4" s="113" t="s">
        <v>73</v>
      </c>
      <c r="D4" s="113">
        <v>4.2</v>
      </c>
      <c r="E4" s="124">
        <v>27.93</v>
      </c>
      <c r="F4" s="124">
        <v>0.0</v>
      </c>
      <c r="G4" s="124">
        <f t="shared" ref="G4:G25" si="1">E4*D4</f>
        <v>117.306</v>
      </c>
      <c r="H4" s="32" t="str">
        <f>IFERROR(__xludf.DUMMYFUNCTION("IF(C2="""","""",SPARKLINE(GOOGLEFINANCE(C2,""price"",TODAY()-K4,TODAY())))"),"")</f>
        <v/>
      </c>
      <c r="K4" s="33">
        <v>60.0</v>
      </c>
    </row>
    <row r="5">
      <c r="B5" s="112">
        <v>44655.0</v>
      </c>
      <c r="C5" s="113" t="s">
        <v>73</v>
      </c>
      <c r="D5" s="113">
        <v>7.0</v>
      </c>
      <c r="E5" s="124">
        <v>31.26</v>
      </c>
      <c r="F5" s="124">
        <v>0.0</v>
      </c>
      <c r="G5" s="124">
        <f t="shared" si="1"/>
        <v>218.82</v>
      </c>
      <c r="K5" s="34"/>
    </row>
    <row r="6">
      <c r="B6" s="112">
        <v>44841.0</v>
      </c>
      <c r="C6" s="113" t="s">
        <v>73</v>
      </c>
      <c r="D6" s="113">
        <v>4.2</v>
      </c>
      <c r="E6" s="124">
        <v>27.71</v>
      </c>
      <c r="F6" s="124">
        <v>0.0</v>
      </c>
      <c r="G6" s="124">
        <f t="shared" si="1"/>
        <v>116.382</v>
      </c>
      <c r="H6" s="15"/>
      <c r="I6" s="15"/>
      <c r="J6" s="15"/>
      <c r="K6" s="34"/>
    </row>
    <row r="7">
      <c r="B7" s="112">
        <v>44935.0</v>
      </c>
      <c r="C7" s="113" t="s">
        <v>73</v>
      </c>
      <c r="D7" s="113">
        <v>4.2</v>
      </c>
      <c r="E7" s="124">
        <v>27.11</v>
      </c>
      <c r="F7" s="124">
        <v>0.0</v>
      </c>
      <c r="G7" s="124">
        <f t="shared" si="1"/>
        <v>113.862</v>
      </c>
      <c r="K7" s="35"/>
    </row>
    <row r="8">
      <c r="B8" s="112">
        <v>44999.0</v>
      </c>
      <c r="C8" s="113" t="s">
        <v>73</v>
      </c>
      <c r="D8" s="113">
        <v>11.2</v>
      </c>
      <c r="E8" s="124">
        <v>29.74</v>
      </c>
      <c r="F8" s="124">
        <v>0.0</v>
      </c>
      <c r="G8" s="124">
        <f t="shared" si="1"/>
        <v>333.088</v>
      </c>
      <c r="K8" s="36"/>
    </row>
    <row r="9">
      <c r="B9" s="116">
        <v>45246.0</v>
      </c>
      <c r="C9" s="113" t="s">
        <v>73</v>
      </c>
      <c r="D9" s="113">
        <v>5.6</v>
      </c>
      <c r="E9" s="124">
        <v>31.04</v>
      </c>
      <c r="F9" s="124">
        <v>0.0</v>
      </c>
      <c r="G9" s="124">
        <f t="shared" si="1"/>
        <v>173.824</v>
      </c>
      <c r="K9" s="36"/>
    </row>
    <row r="10">
      <c r="B10" s="112">
        <v>45300.0</v>
      </c>
      <c r="C10" s="113" t="s">
        <v>73</v>
      </c>
      <c r="D10" s="113">
        <v>4.2</v>
      </c>
      <c r="E10" s="124">
        <v>31.35</v>
      </c>
      <c r="F10" s="124">
        <v>0.0</v>
      </c>
      <c r="G10" s="124">
        <f t="shared" si="1"/>
        <v>131.67</v>
      </c>
      <c r="I10" s="25" t="s">
        <v>32</v>
      </c>
      <c r="J10" s="32">
        <f>SUMIFS(D4:D28,C4:C28,"COMPRA")</f>
        <v>161</v>
      </c>
      <c r="K10" s="36"/>
    </row>
    <row r="11">
      <c r="B11" s="112">
        <v>45341.0</v>
      </c>
      <c r="C11" s="113" t="s">
        <v>73</v>
      </c>
      <c r="D11" s="113">
        <v>7.0</v>
      </c>
      <c r="E11" s="124">
        <v>29.44</v>
      </c>
      <c r="F11" s="124">
        <v>0.0</v>
      </c>
      <c r="G11" s="124">
        <f t="shared" si="1"/>
        <v>206.08</v>
      </c>
      <c r="I11" s="25" t="s">
        <v>33</v>
      </c>
      <c r="J11" s="32">
        <f>SUMIFS(D4:D28,C4:C28,"VENDA")</f>
        <v>0</v>
      </c>
      <c r="K11" s="36"/>
    </row>
    <row r="12">
      <c r="B12" s="112">
        <v>45453.0</v>
      </c>
      <c r="C12" s="113" t="s">
        <v>73</v>
      </c>
      <c r="D12" s="113">
        <v>5.6</v>
      </c>
      <c r="E12" s="124">
        <v>31.02</v>
      </c>
      <c r="F12" s="124">
        <v>0.0</v>
      </c>
      <c r="G12" s="124">
        <f t="shared" si="1"/>
        <v>173.712</v>
      </c>
      <c r="I12" s="25" t="s">
        <v>34</v>
      </c>
      <c r="J12" s="32">
        <f>J10-J11</f>
        <v>161</v>
      </c>
      <c r="K12" s="36"/>
    </row>
    <row r="13">
      <c r="B13" s="112">
        <v>45505.0</v>
      </c>
      <c r="C13" s="113" t="s">
        <v>73</v>
      </c>
      <c r="D13" s="113">
        <v>4.2</v>
      </c>
      <c r="E13" s="124">
        <v>31.71</v>
      </c>
      <c r="F13" s="124">
        <v>0.0</v>
      </c>
      <c r="G13" s="124">
        <f t="shared" si="1"/>
        <v>133.182</v>
      </c>
      <c r="I13" s="25" t="s">
        <v>35</v>
      </c>
      <c r="J13" s="37">
        <f>SUMIFS(G4:G28,C4:C28,"COMPRA")</f>
        <v>4814.718</v>
      </c>
      <c r="K13" s="36"/>
    </row>
    <row r="14">
      <c r="B14" s="112">
        <v>45551.0</v>
      </c>
      <c r="C14" s="113" t="s">
        <v>73</v>
      </c>
      <c r="D14" s="113">
        <v>4.2</v>
      </c>
      <c r="E14" s="124">
        <v>31.64</v>
      </c>
      <c r="F14" s="124">
        <v>0.0</v>
      </c>
      <c r="G14" s="124">
        <f t="shared" si="1"/>
        <v>132.888</v>
      </c>
      <c r="I14" s="25" t="s">
        <v>36</v>
      </c>
      <c r="J14" s="37">
        <f>SUMIFS(E4:E28,C4:C28,"VENDA")</f>
        <v>0</v>
      </c>
      <c r="K14" s="36"/>
    </row>
    <row r="15">
      <c r="B15" s="116">
        <v>45595.0</v>
      </c>
      <c r="C15" s="113" t="s">
        <v>73</v>
      </c>
      <c r="D15" s="113">
        <v>21.0</v>
      </c>
      <c r="E15" s="124">
        <v>29.44</v>
      </c>
      <c r="F15" s="124">
        <v>0.0</v>
      </c>
      <c r="G15" s="124">
        <f t="shared" si="1"/>
        <v>618.24</v>
      </c>
      <c r="I15" s="7" t="s">
        <v>37</v>
      </c>
      <c r="J15" s="37">
        <f>SUM(F4:F28)</f>
        <v>0</v>
      </c>
      <c r="K15" s="36"/>
    </row>
    <row r="16">
      <c r="B16" s="112">
        <v>45628.0</v>
      </c>
      <c r="C16" s="113" t="s">
        <v>73</v>
      </c>
      <c r="D16" s="113">
        <v>5.6</v>
      </c>
      <c r="E16" s="124">
        <v>26.71</v>
      </c>
      <c r="F16" s="124">
        <v>0.0</v>
      </c>
      <c r="G16" s="124">
        <f t="shared" si="1"/>
        <v>149.576</v>
      </c>
      <c r="I16" s="25" t="s">
        <v>10</v>
      </c>
      <c r="J16" s="37">
        <f>IF(J10&lt;&gt;0,((J13+J15)/J10),"")</f>
        <v>29.90508075</v>
      </c>
      <c r="K16" s="36"/>
    </row>
    <row r="17">
      <c r="B17" s="112">
        <v>45667.0</v>
      </c>
      <c r="C17" s="113" t="s">
        <v>73</v>
      </c>
      <c r="D17" s="113">
        <v>8.4</v>
      </c>
      <c r="E17" s="124">
        <v>25.16</v>
      </c>
      <c r="F17" s="124">
        <v>0.0</v>
      </c>
      <c r="G17" s="124">
        <f t="shared" si="1"/>
        <v>211.344</v>
      </c>
      <c r="K17" s="36"/>
    </row>
    <row r="18">
      <c r="B18" s="112">
        <v>45758.0</v>
      </c>
      <c r="C18" s="113" t="s">
        <v>73</v>
      </c>
      <c r="D18" s="113">
        <v>4.2</v>
      </c>
      <c r="E18" s="124">
        <v>28.22</v>
      </c>
      <c r="F18" s="124">
        <v>0.0</v>
      </c>
      <c r="G18" s="124">
        <f t="shared" si="1"/>
        <v>118.524</v>
      </c>
      <c r="K18" s="36"/>
    </row>
    <row r="19">
      <c r="B19" s="112">
        <v>45848.0</v>
      </c>
      <c r="C19" s="113" t="s">
        <v>73</v>
      </c>
      <c r="D19" s="113">
        <v>8.4</v>
      </c>
      <c r="E19" s="124">
        <v>30.0</v>
      </c>
      <c r="F19" s="124">
        <v>0.0</v>
      </c>
      <c r="G19" s="124">
        <f t="shared" si="1"/>
        <v>252</v>
      </c>
      <c r="K19" s="36"/>
    </row>
    <row r="20">
      <c r="B20" s="112">
        <v>45922.0</v>
      </c>
      <c r="C20" s="113" t="s">
        <v>73</v>
      </c>
      <c r="D20" s="113">
        <v>8.4</v>
      </c>
      <c r="E20" s="124">
        <v>29.74</v>
      </c>
      <c r="F20" s="124">
        <v>0.0</v>
      </c>
      <c r="G20" s="124">
        <f t="shared" si="1"/>
        <v>249.816</v>
      </c>
      <c r="K20" s="36"/>
    </row>
    <row r="21">
      <c r="B21" s="112">
        <v>45939.0</v>
      </c>
      <c r="C21" s="113" t="s">
        <v>73</v>
      </c>
      <c r="D21" s="113">
        <v>8.4</v>
      </c>
      <c r="E21" s="124">
        <v>28.46</v>
      </c>
      <c r="F21" s="124">
        <v>0.0</v>
      </c>
      <c r="G21" s="124">
        <f t="shared" si="1"/>
        <v>239.064</v>
      </c>
      <c r="K21" s="36"/>
    </row>
    <row r="22">
      <c r="B22" s="112">
        <v>46000.0</v>
      </c>
      <c r="C22" s="113" t="s">
        <v>73</v>
      </c>
      <c r="D22" s="126">
        <v>7.0</v>
      </c>
      <c r="E22" s="124">
        <v>30.4</v>
      </c>
      <c r="F22" s="124">
        <v>0.0</v>
      </c>
      <c r="G22" s="124">
        <f t="shared" si="1"/>
        <v>212.8</v>
      </c>
      <c r="K22" s="36"/>
    </row>
    <row r="23">
      <c r="B23" s="112">
        <v>46051.0</v>
      </c>
      <c r="C23" s="113" t="s">
        <v>73</v>
      </c>
      <c r="D23" s="126">
        <v>8.0</v>
      </c>
      <c r="E23" s="124">
        <v>33.38</v>
      </c>
      <c r="F23" s="124">
        <v>0.0</v>
      </c>
      <c r="G23" s="124">
        <f t="shared" si="1"/>
        <v>267.04</v>
      </c>
      <c r="K23" s="36"/>
    </row>
    <row r="24">
      <c r="B24" s="112">
        <v>46087.0</v>
      </c>
      <c r="C24" s="113" t="s">
        <v>73</v>
      </c>
      <c r="D24" s="126">
        <v>10.0</v>
      </c>
      <c r="E24" s="124">
        <v>31.85</v>
      </c>
      <c r="F24" s="124">
        <v>0.0</v>
      </c>
      <c r="G24" s="124">
        <f t="shared" si="1"/>
        <v>318.5</v>
      </c>
      <c r="K24" s="36"/>
    </row>
    <row r="25">
      <c r="B25" s="112">
        <v>46205.0</v>
      </c>
      <c r="C25" s="113" t="s">
        <v>73</v>
      </c>
      <c r="D25" s="126">
        <v>10.0</v>
      </c>
      <c r="E25" s="124">
        <v>32.7</v>
      </c>
      <c r="F25" s="124">
        <v>0.0</v>
      </c>
      <c r="G25" s="124">
        <f t="shared" si="1"/>
        <v>327</v>
      </c>
      <c r="K25" s="36"/>
    </row>
    <row r="26">
      <c r="B26" s="112"/>
      <c r="C26" s="113"/>
      <c r="D26" s="126"/>
      <c r="E26" s="124"/>
      <c r="F26" s="124"/>
      <c r="G26" s="125"/>
      <c r="K26" s="36"/>
    </row>
    <row r="27">
      <c r="B27" s="112"/>
      <c r="C27" s="113"/>
      <c r="D27" s="126"/>
      <c r="E27" s="124"/>
      <c r="F27" s="124"/>
      <c r="G27" s="125"/>
      <c r="K27" s="36"/>
    </row>
    <row r="28">
      <c r="B28" s="112"/>
      <c r="C28" s="113"/>
      <c r="D28" s="127"/>
      <c r="E28" s="124"/>
      <c r="F28" s="124"/>
      <c r="G28" s="125"/>
      <c r="H28" s="40"/>
      <c r="I28" s="40"/>
      <c r="J28" s="40"/>
      <c r="K28" s="41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81</v>
      </c>
      <c r="D2" s="3" t="s">
        <v>24</v>
      </c>
      <c r="E2" s="5"/>
      <c r="F2" s="21" t="str">
        <f>IFERROR(__xludf.DUMMYFUNCTION("IF(C2="""","""",GOOGLEFINANCE(C2,""Name""))"),"Kinea Renda Imobiliaria FII")</f>
        <v>Kinea Renda Imobiliaria FII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112">
        <v>44628.0</v>
      </c>
      <c r="C4" s="113" t="s">
        <v>73</v>
      </c>
      <c r="D4" s="113">
        <v>1.0</v>
      </c>
      <c r="E4" s="124">
        <v>130.38</v>
      </c>
      <c r="F4" s="124">
        <v>0.0</v>
      </c>
      <c r="G4" s="125">
        <f t="shared" ref="G4:G24" si="1">E4*D4</f>
        <v>130.38</v>
      </c>
      <c r="H4" s="32" t="str">
        <f>IFERROR(__xludf.DUMMYFUNCTION("IF(C2="""","""",SPARKLINE(GOOGLEFINANCE(C2,""price"",TODAY()-K4,TODAY())))"),"")</f>
        <v/>
      </c>
      <c r="K4" s="33">
        <v>30.0</v>
      </c>
    </row>
    <row r="5">
      <c r="B5" s="112">
        <v>44743.0</v>
      </c>
      <c r="C5" s="113" t="s">
        <v>73</v>
      </c>
      <c r="D5" s="113">
        <v>1.0</v>
      </c>
      <c r="E5" s="124">
        <v>130.59</v>
      </c>
      <c r="F5" s="124">
        <v>0.0</v>
      </c>
      <c r="G5" s="125">
        <f t="shared" si="1"/>
        <v>130.59</v>
      </c>
      <c r="K5" s="34"/>
    </row>
    <row r="6">
      <c r="B6" s="112">
        <v>44841.0</v>
      </c>
      <c r="C6" s="113" t="s">
        <v>73</v>
      </c>
      <c r="D6" s="113">
        <v>1.0</v>
      </c>
      <c r="E6" s="124">
        <v>152.84</v>
      </c>
      <c r="F6" s="124">
        <v>0.0</v>
      </c>
      <c r="G6" s="125">
        <f t="shared" si="1"/>
        <v>152.84</v>
      </c>
      <c r="H6" s="15"/>
      <c r="I6" s="15"/>
      <c r="J6" s="15"/>
      <c r="K6" s="34"/>
    </row>
    <row r="7">
      <c r="B7" s="112">
        <v>44935.0</v>
      </c>
      <c r="C7" s="113" t="s">
        <v>73</v>
      </c>
      <c r="D7" s="113">
        <v>1.0</v>
      </c>
      <c r="E7" s="124">
        <v>138.69</v>
      </c>
      <c r="F7" s="124">
        <v>0.0</v>
      </c>
      <c r="G7" s="125">
        <f t="shared" si="1"/>
        <v>138.69</v>
      </c>
      <c r="K7" s="35"/>
    </row>
    <row r="8">
      <c r="B8" s="112">
        <v>44999.0</v>
      </c>
      <c r="C8" s="113" t="s">
        <v>73</v>
      </c>
      <c r="D8" s="113">
        <v>2.0</v>
      </c>
      <c r="E8" s="124">
        <v>137.51</v>
      </c>
      <c r="F8" s="124">
        <v>0.0</v>
      </c>
      <c r="G8" s="125">
        <f t="shared" si="1"/>
        <v>275.02</v>
      </c>
      <c r="K8" s="36"/>
    </row>
    <row r="9">
      <c r="B9" s="112">
        <v>45300.0</v>
      </c>
      <c r="C9" s="113" t="s">
        <v>73</v>
      </c>
      <c r="D9" s="113">
        <v>1.0</v>
      </c>
      <c r="E9" s="124">
        <v>164.38</v>
      </c>
      <c r="F9" s="124">
        <v>0.0</v>
      </c>
      <c r="G9" s="125">
        <f t="shared" si="1"/>
        <v>164.38</v>
      </c>
      <c r="K9" s="36"/>
    </row>
    <row r="10">
      <c r="B10" s="112">
        <v>45341.0</v>
      </c>
      <c r="C10" s="113" t="s">
        <v>73</v>
      </c>
      <c r="D10" s="113">
        <v>2.0</v>
      </c>
      <c r="E10" s="124">
        <v>136.65</v>
      </c>
      <c r="F10" s="124">
        <v>0.0</v>
      </c>
      <c r="G10" s="125">
        <f t="shared" si="1"/>
        <v>273.3</v>
      </c>
      <c r="I10" s="25" t="s">
        <v>32</v>
      </c>
      <c r="J10" s="32">
        <f>SUMIFS(D4:D25,C4:C25,"COMPRA")</f>
        <v>30</v>
      </c>
      <c r="K10" s="36"/>
    </row>
    <row r="11">
      <c r="B11" s="112">
        <v>45426.0</v>
      </c>
      <c r="C11" s="113" t="s">
        <v>73</v>
      </c>
      <c r="D11" s="113">
        <v>1.0</v>
      </c>
      <c r="E11" s="124">
        <v>160.7</v>
      </c>
      <c r="F11" s="124">
        <v>0.0</v>
      </c>
      <c r="G11" s="125">
        <f t="shared" si="1"/>
        <v>160.7</v>
      </c>
      <c r="I11" s="25" t="s">
        <v>33</v>
      </c>
      <c r="J11" s="32">
        <f>SUMIFS(D4:D25,C4:C25,"VENDA")</f>
        <v>0</v>
      </c>
      <c r="K11" s="36"/>
    </row>
    <row r="12">
      <c r="B12" s="112">
        <v>45453.0</v>
      </c>
      <c r="C12" s="113" t="s">
        <v>73</v>
      </c>
      <c r="D12" s="113">
        <v>1.0</v>
      </c>
      <c r="E12" s="124">
        <v>157.84</v>
      </c>
      <c r="F12" s="124">
        <v>0.0</v>
      </c>
      <c r="G12" s="125">
        <f t="shared" si="1"/>
        <v>157.84</v>
      </c>
      <c r="I12" s="25" t="s">
        <v>34</v>
      </c>
      <c r="J12" s="32">
        <f>J10-J11</f>
        <v>30</v>
      </c>
      <c r="K12" s="36"/>
    </row>
    <row r="13">
      <c r="B13" s="112">
        <v>45505.0</v>
      </c>
      <c r="C13" s="113" t="s">
        <v>73</v>
      </c>
      <c r="D13" s="113">
        <v>1.0</v>
      </c>
      <c r="E13" s="124">
        <v>154.6</v>
      </c>
      <c r="F13" s="124">
        <v>0.0</v>
      </c>
      <c r="G13" s="125">
        <f t="shared" si="1"/>
        <v>154.6</v>
      </c>
      <c r="I13" s="25" t="s">
        <v>35</v>
      </c>
      <c r="J13" s="37">
        <f>SUMIFS(G4:G25,C4:C25,"COMPRA")</f>
        <v>4371.3</v>
      </c>
      <c r="K13" s="36"/>
    </row>
    <row r="14">
      <c r="B14" s="112">
        <v>45551.0</v>
      </c>
      <c r="C14" s="113" t="s">
        <v>73</v>
      </c>
      <c r="D14" s="113">
        <v>1.0</v>
      </c>
      <c r="E14" s="124">
        <v>148.29</v>
      </c>
      <c r="F14" s="124">
        <v>0.0</v>
      </c>
      <c r="G14" s="125">
        <f t="shared" si="1"/>
        <v>148.29</v>
      </c>
      <c r="I14" s="25" t="s">
        <v>36</v>
      </c>
      <c r="J14" s="37">
        <f>SUMIFS(E4:E25,C4:C25,"VENDA")</f>
        <v>0</v>
      </c>
      <c r="K14" s="36"/>
    </row>
    <row r="15">
      <c r="B15" s="116">
        <v>45595.0</v>
      </c>
      <c r="C15" s="113" t="s">
        <v>73</v>
      </c>
      <c r="D15" s="113">
        <v>4.0</v>
      </c>
      <c r="E15" s="124">
        <v>138.55</v>
      </c>
      <c r="F15" s="124">
        <v>0.0</v>
      </c>
      <c r="G15" s="125">
        <f t="shared" si="1"/>
        <v>554.2</v>
      </c>
      <c r="I15" s="7" t="s">
        <v>37</v>
      </c>
      <c r="J15" s="37">
        <f>SUM(F4:F25)</f>
        <v>0</v>
      </c>
      <c r="K15" s="36"/>
    </row>
    <row r="16">
      <c r="B16" s="112">
        <v>45628.0</v>
      </c>
      <c r="C16" s="113" t="s">
        <v>73</v>
      </c>
      <c r="D16" s="113">
        <v>1.0</v>
      </c>
      <c r="E16" s="124">
        <v>131.2</v>
      </c>
      <c r="F16" s="124">
        <v>0.0</v>
      </c>
      <c r="G16" s="125">
        <f t="shared" si="1"/>
        <v>131.2</v>
      </c>
      <c r="I16" s="25" t="s">
        <v>10</v>
      </c>
      <c r="J16" s="37">
        <f>IF(J10&lt;&gt;0,((J13+J15)/J10),"")</f>
        <v>145.71</v>
      </c>
      <c r="K16" s="36"/>
    </row>
    <row r="17">
      <c r="B17" s="112">
        <v>45667.0</v>
      </c>
      <c r="C17" s="113" t="s">
        <v>73</v>
      </c>
      <c r="D17" s="113">
        <v>1.0</v>
      </c>
      <c r="E17" s="124">
        <v>133.74</v>
      </c>
      <c r="F17" s="124">
        <v>0.0</v>
      </c>
      <c r="G17" s="125">
        <f t="shared" si="1"/>
        <v>133.74</v>
      </c>
      <c r="K17" s="36"/>
    </row>
    <row r="18">
      <c r="B18" s="112">
        <v>45758.0</v>
      </c>
      <c r="C18" s="113" t="s">
        <v>73</v>
      </c>
      <c r="D18" s="113">
        <v>1.0</v>
      </c>
      <c r="E18" s="124">
        <v>134.77</v>
      </c>
      <c r="F18" s="124">
        <v>0.0</v>
      </c>
      <c r="G18" s="125">
        <f t="shared" si="1"/>
        <v>134.77</v>
      </c>
      <c r="K18" s="36"/>
    </row>
    <row r="19">
      <c r="B19" s="112">
        <v>45848.0</v>
      </c>
      <c r="C19" s="113" t="s">
        <v>73</v>
      </c>
      <c r="D19" s="113">
        <v>2.0</v>
      </c>
      <c r="E19" s="124">
        <v>143.83</v>
      </c>
      <c r="F19" s="124">
        <v>0.0</v>
      </c>
      <c r="G19" s="125">
        <f t="shared" si="1"/>
        <v>287.66</v>
      </c>
      <c r="K19" s="36"/>
    </row>
    <row r="20">
      <c r="B20" s="112">
        <v>45922.0</v>
      </c>
      <c r="C20" s="113" t="s">
        <v>73</v>
      </c>
      <c r="D20" s="113">
        <v>1.0</v>
      </c>
      <c r="E20" s="124">
        <v>147.79</v>
      </c>
      <c r="F20" s="124">
        <v>0.0</v>
      </c>
      <c r="G20" s="125">
        <f t="shared" si="1"/>
        <v>147.79</v>
      </c>
      <c r="K20" s="36"/>
    </row>
    <row r="21">
      <c r="B21" s="128">
        <v>45939.0</v>
      </c>
      <c r="C21" s="113" t="s">
        <v>73</v>
      </c>
      <c r="D21" s="127">
        <v>2.0</v>
      </c>
      <c r="E21" s="124">
        <v>144.43</v>
      </c>
      <c r="F21" s="124">
        <v>0.0</v>
      </c>
      <c r="G21" s="125">
        <f t="shared" si="1"/>
        <v>288.86</v>
      </c>
      <c r="K21" s="36"/>
    </row>
    <row r="22">
      <c r="B22" s="129">
        <v>46051.0</v>
      </c>
      <c r="C22" s="113" t="s">
        <v>73</v>
      </c>
      <c r="D22" s="126">
        <v>1.0</v>
      </c>
      <c r="E22" s="124">
        <v>162.01</v>
      </c>
      <c r="F22" s="124">
        <v>0.0</v>
      </c>
      <c r="G22" s="125">
        <f t="shared" si="1"/>
        <v>162.01</v>
      </c>
      <c r="K22" s="36"/>
    </row>
    <row r="23">
      <c r="B23" s="129">
        <v>46087.0</v>
      </c>
      <c r="C23" s="113" t="s">
        <v>73</v>
      </c>
      <c r="D23" s="126">
        <v>2.0</v>
      </c>
      <c r="E23" s="124">
        <v>167.1</v>
      </c>
      <c r="F23" s="124">
        <v>0.0</v>
      </c>
      <c r="G23" s="125">
        <f t="shared" si="1"/>
        <v>334.2</v>
      </c>
      <c r="K23" s="36"/>
    </row>
    <row r="24">
      <c r="B24" s="129">
        <v>46205.0</v>
      </c>
      <c r="C24" s="113" t="s">
        <v>73</v>
      </c>
      <c r="D24" s="126">
        <v>2.0</v>
      </c>
      <c r="E24" s="124">
        <v>155.12</v>
      </c>
      <c r="F24" s="124">
        <v>0.0</v>
      </c>
      <c r="G24" s="125">
        <f t="shared" si="1"/>
        <v>310.24</v>
      </c>
      <c r="K24" s="36"/>
    </row>
    <row r="25">
      <c r="B25" s="128"/>
      <c r="C25" s="113"/>
      <c r="D25" s="127"/>
      <c r="E25" s="127"/>
      <c r="F25" s="124"/>
      <c r="G25" s="125"/>
      <c r="H25" s="40"/>
      <c r="I25" s="40"/>
      <c r="J25" s="40"/>
      <c r="K25" s="41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82</v>
      </c>
      <c r="D2" s="3" t="s">
        <v>24</v>
      </c>
      <c r="E2" s="5"/>
      <c r="F2" s="21" t="str">
        <f>IFERROR(__xludf.DUMMYFUNCTION("IF(C2="""","""",GOOGLEFINANCE(C2,""Name""))"),"Patria Renda Urbana FII RL Unica")</f>
        <v>Patria Renda Urbana FII RL Unica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112">
        <v>44628.0</v>
      </c>
      <c r="C4" s="113" t="s">
        <v>73</v>
      </c>
      <c r="D4" s="113">
        <v>1.0</v>
      </c>
      <c r="E4" s="124">
        <v>110.99</v>
      </c>
      <c r="F4" s="124">
        <v>0.0</v>
      </c>
      <c r="G4" s="125">
        <f t="shared" ref="G4:G25" si="1">E4*D4</f>
        <v>110.99</v>
      </c>
      <c r="H4" s="32" t="str">
        <f>IFERROR(__xludf.DUMMYFUNCTION("IF(C2="""","""",SPARKLINE(GOOGLEFINANCE(C2,""price"",TODAY()-K4,TODAY())))"),"")</f>
        <v/>
      </c>
      <c r="K4" s="33">
        <v>30.0</v>
      </c>
    </row>
    <row r="5">
      <c r="B5" s="112">
        <v>44655.0</v>
      </c>
      <c r="C5" s="113" t="s">
        <v>73</v>
      </c>
      <c r="D5" s="113">
        <v>1.0</v>
      </c>
      <c r="E5" s="124">
        <v>113.79</v>
      </c>
      <c r="F5" s="124">
        <v>0.0</v>
      </c>
      <c r="G5" s="125">
        <f t="shared" si="1"/>
        <v>113.79</v>
      </c>
      <c r="K5" s="34"/>
    </row>
    <row r="6">
      <c r="B6" s="112">
        <v>44841.0</v>
      </c>
      <c r="C6" s="113" t="s">
        <v>73</v>
      </c>
      <c r="D6" s="113">
        <v>1.0</v>
      </c>
      <c r="E6" s="124">
        <v>126.14</v>
      </c>
      <c r="F6" s="124">
        <v>0.0</v>
      </c>
      <c r="G6" s="125">
        <f t="shared" si="1"/>
        <v>126.14</v>
      </c>
      <c r="H6" s="15"/>
      <c r="I6" s="15"/>
      <c r="J6" s="15"/>
      <c r="K6" s="34"/>
    </row>
    <row r="7">
      <c r="B7" s="112">
        <v>44935.0</v>
      </c>
      <c r="C7" s="113" t="s">
        <v>73</v>
      </c>
      <c r="D7" s="113">
        <v>1.0</v>
      </c>
      <c r="E7" s="124">
        <v>117.35</v>
      </c>
      <c r="F7" s="124">
        <v>0.0</v>
      </c>
      <c r="G7" s="125">
        <f t="shared" si="1"/>
        <v>117.35</v>
      </c>
      <c r="K7" s="35"/>
    </row>
    <row r="8">
      <c r="B8" s="112">
        <v>44999.0</v>
      </c>
      <c r="C8" s="113" t="s">
        <v>73</v>
      </c>
      <c r="D8" s="113">
        <v>3.0</v>
      </c>
      <c r="E8" s="124">
        <v>115.58</v>
      </c>
      <c r="F8" s="124">
        <v>0.0</v>
      </c>
      <c r="G8" s="124">
        <f t="shared" si="1"/>
        <v>346.74</v>
      </c>
      <c r="K8" s="36"/>
    </row>
    <row r="9">
      <c r="B9" s="116">
        <v>45246.0</v>
      </c>
      <c r="C9" s="113" t="s">
        <v>73</v>
      </c>
      <c r="D9" s="113">
        <v>1.0</v>
      </c>
      <c r="E9" s="124">
        <v>130.49</v>
      </c>
      <c r="F9" s="124">
        <v>0.0</v>
      </c>
      <c r="G9" s="124">
        <f t="shared" si="1"/>
        <v>130.49</v>
      </c>
      <c r="K9" s="36"/>
    </row>
    <row r="10">
      <c r="B10" s="112">
        <v>45300.0</v>
      </c>
      <c r="C10" s="113" t="s">
        <v>73</v>
      </c>
      <c r="D10" s="113">
        <v>3.0</v>
      </c>
      <c r="E10" s="124">
        <v>137.78</v>
      </c>
      <c r="F10" s="124">
        <v>0.0</v>
      </c>
      <c r="G10" s="124">
        <f t="shared" si="1"/>
        <v>413.34</v>
      </c>
      <c r="I10" s="25" t="s">
        <v>32</v>
      </c>
      <c r="J10" s="32">
        <f>SUMIFS(D4:D26,C4:C26,"COMPRA")</f>
        <v>39</v>
      </c>
      <c r="K10" s="36"/>
    </row>
    <row r="11">
      <c r="B11" s="112">
        <v>45426.0</v>
      </c>
      <c r="C11" s="113" t="s">
        <v>73</v>
      </c>
      <c r="D11" s="113">
        <v>1.0</v>
      </c>
      <c r="E11" s="124">
        <v>129.65</v>
      </c>
      <c r="F11" s="124">
        <v>0.0</v>
      </c>
      <c r="G11" s="124">
        <f t="shared" si="1"/>
        <v>129.65</v>
      </c>
      <c r="I11" s="25" t="s">
        <v>33</v>
      </c>
      <c r="J11" s="32">
        <f>SUMIFS(D4:D26,C4:C26,"VENDA")</f>
        <v>0</v>
      </c>
      <c r="K11" s="36"/>
    </row>
    <row r="12">
      <c r="B12" s="112">
        <v>45453.0</v>
      </c>
      <c r="C12" s="113" t="s">
        <v>73</v>
      </c>
      <c r="D12" s="113">
        <v>1.0</v>
      </c>
      <c r="E12" s="124">
        <v>127.92</v>
      </c>
      <c r="F12" s="124">
        <v>0.0</v>
      </c>
      <c r="G12" s="124">
        <f t="shared" si="1"/>
        <v>127.92</v>
      </c>
      <c r="I12" s="25" t="s">
        <v>34</v>
      </c>
      <c r="J12" s="32">
        <f>J10-J11</f>
        <v>39</v>
      </c>
      <c r="K12" s="36"/>
    </row>
    <row r="13">
      <c r="B13" s="112">
        <v>45505.0</v>
      </c>
      <c r="C13" s="113" t="s">
        <v>73</v>
      </c>
      <c r="D13" s="113">
        <v>1.0</v>
      </c>
      <c r="E13" s="124">
        <v>126.77</v>
      </c>
      <c r="F13" s="124">
        <v>0.0</v>
      </c>
      <c r="G13" s="124">
        <f t="shared" si="1"/>
        <v>126.77</v>
      </c>
      <c r="I13" s="25" t="s">
        <v>35</v>
      </c>
      <c r="J13" s="37">
        <f>SUMIFS(G4:G26,C4:C26,"COMPRA")</f>
        <v>4852.01</v>
      </c>
      <c r="K13" s="36"/>
    </row>
    <row r="14">
      <c r="B14" s="112">
        <v>45551.0</v>
      </c>
      <c r="C14" s="113" t="s">
        <v>73</v>
      </c>
      <c r="D14" s="113">
        <v>1.0</v>
      </c>
      <c r="E14" s="124">
        <v>124.91</v>
      </c>
      <c r="F14" s="124">
        <v>0.0</v>
      </c>
      <c r="G14" s="124">
        <f t="shared" si="1"/>
        <v>124.91</v>
      </c>
      <c r="I14" s="25" t="s">
        <v>36</v>
      </c>
      <c r="J14" s="37">
        <f>SUMIFS(E4:E26,C4:C26,"VENDA")</f>
        <v>0</v>
      </c>
      <c r="K14" s="36"/>
    </row>
    <row r="15">
      <c r="B15" s="116">
        <v>45595.0</v>
      </c>
      <c r="C15" s="113" t="s">
        <v>73</v>
      </c>
      <c r="D15" s="113">
        <v>5.0</v>
      </c>
      <c r="E15" s="124">
        <v>122.65</v>
      </c>
      <c r="F15" s="124">
        <v>0.0</v>
      </c>
      <c r="G15" s="124">
        <f t="shared" si="1"/>
        <v>613.25</v>
      </c>
      <c r="I15" s="7" t="s">
        <v>37</v>
      </c>
      <c r="J15" s="37">
        <f>SUM(F4:F26)</f>
        <v>0</v>
      </c>
      <c r="K15" s="36"/>
    </row>
    <row r="16">
      <c r="B16" s="112">
        <v>45628.0</v>
      </c>
      <c r="C16" s="113" t="s">
        <v>73</v>
      </c>
      <c r="D16" s="113">
        <v>1.0</v>
      </c>
      <c r="E16" s="124">
        <v>114.75</v>
      </c>
      <c r="F16" s="124">
        <v>0.0</v>
      </c>
      <c r="G16" s="124">
        <f t="shared" si="1"/>
        <v>114.75</v>
      </c>
      <c r="I16" s="25" t="s">
        <v>10</v>
      </c>
      <c r="J16" s="37">
        <f>IF(J10&lt;&gt;0,((J13+J15)/J10),"")</f>
        <v>124.4105128</v>
      </c>
      <c r="K16" s="36"/>
    </row>
    <row r="17">
      <c r="B17" s="112">
        <v>45667.0</v>
      </c>
      <c r="C17" s="113" t="s">
        <v>73</v>
      </c>
      <c r="D17" s="113">
        <v>2.0</v>
      </c>
      <c r="E17" s="124">
        <v>114.42</v>
      </c>
      <c r="F17" s="124">
        <v>0.0</v>
      </c>
      <c r="G17" s="124">
        <f t="shared" si="1"/>
        <v>228.84</v>
      </c>
      <c r="K17" s="36"/>
    </row>
    <row r="18">
      <c r="B18" s="112">
        <v>45758.0</v>
      </c>
      <c r="C18" s="113" t="s">
        <v>73</v>
      </c>
      <c r="D18" s="113">
        <v>1.0</v>
      </c>
      <c r="E18" s="124">
        <v>115.11</v>
      </c>
      <c r="F18" s="124">
        <v>0.0</v>
      </c>
      <c r="G18" s="124">
        <f t="shared" si="1"/>
        <v>115.11</v>
      </c>
      <c r="K18" s="36"/>
    </row>
    <row r="19">
      <c r="B19" s="112">
        <v>45848.0</v>
      </c>
      <c r="C19" s="113" t="s">
        <v>73</v>
      </c>
      <c r="D19" s="113">
        <v>2.0</v>
      </c>
      <c r="E19" s="124">
        <v>124.32</v>
      </c>
      <c r="F19" s="124">
        <v>0.0</v>
      </c>
      <c r="G19" s="124">
        <f t="shared" si="1"/>
        <v>248.64</v>
      </c>
      <c r="K19" s="36"/>
    </row>
    <row r="20">
      <c r="B20" s="112">
        <v>45922.0</v>
      </c>
      <c r="C20" s="113" t="s">
        <v>73</v>
      </c>
      <c r="D20" s="113">
        <v>2.0</v>
      </c>
      <c r="E20" s="124">
        <v>126.84</v>
      </c>
      <c r="F20" s="124">
        <v>0.0</v>
      </c>
      <c r="G20" s="124">
        <f t="shared" si="1"/>
        <v>253.68</v>
      </c>
      <c r="K20" s="36"/>
    </row>
    <row r="21">
      <c r="B21" s="128">
        <v>45939.0</v>
      </c>
      <c r="C21" s="113" t="s">
        <v>73</v>
      </c>
      <c r="D21" s="127">
        <v>2.0</v>
      </c>
      <c r="E21" s="124">
        <v>125.91</v>
      </c>
      <c r="F21" s="124">
        <v>0.0</v>
      </c>
      <c r="G21" s="124">
        <f t="shared" si="1"/>
        <v>251.82</v>
      </c>
      <c r="K21" s="36"/>
    </row>
    <row r="22">
      <c r="B22" s="129">
        <v>46000.0</v>
      </c>
      <c r="C22" s="113" t="s">
        <v>73</v>
      </c>
      <c r="D22" s="126">
        <v>2.0</v>
      </c>
      <c r="E22" s="124">
        <v>127.61</v>
      </c>
      <c r="F22" s="124">
        <v>0.0</v>
      </c>
      <c r="G22" s="124">
        <f t="shared" si="1"/>
        <v>255.22</v>
      </c>
      <c r="K22" s="36"/>
    </row>
    <row r="23">
      <c r="B23" s="129">
        <v>46051.0</v>
      </c>
      <c r="C23" s="113" t="s">
        <v>73</v>
      </c>
      <c r="D23" s="126">
        <v>2.0</v>
      </c>
      <c r="E23" s="124">
        <v>127.12</v>
      </c>
      <c r="F23" s="124">
        <v>0.0</v>
      </c>
      <c r="G23" s="124">
        <f t="shared" si="1"/>
        <v>254.24</v>
      </c>
      <c r="K23" s="36"/>
    </row>
    <row r="24">
      <c r="B24" s="129">
        <v>46087.0</v>
      </c>
      <c r="C24" s="113" t="s">
        <v>73</v>
      </c>
      <c r="D24" s="126">
        <v>2.0</v>
      </c>
      <c r="E24" s="124">
        <v>129.86</v>
      </c>
      <c r="F24" s="124">
        <v>0.0</v>
      </c>
      <c r="G24" s="124">
        <f t="shared" si="1"/>
        <v>259.72</v>
      </c>
      <c r="K24" s="36"/>
    </row>
    <row r="25">
      <c r="B25" s="129">
        <v>46205.0</v>
      </c>
      <c r="C25" s="113" t="s">
        <v>73</v>
      </c>
      <c r="D25" s="126">
        <v>3.0</v>
      </c>
      <c r="E25" s="124">
        <v>129.55</v>
      </c>
      <c r="F25" s="124">
        <v>0.0</v>
      </c>
      <c r="G25" s="124">
        <f t="shared" si="1"/>
        <v>388.65</v>
      </c>
      <c r="K25" s="36"/>
    </row>
    <row r="26">
      <c r="B26" s="128"/>
      <c r="C26" s="113"/>
      <c r="D26" s="127"/>
      <c r="E26" s="124"/>
      <c r="F26" s="124"/>
      <c r="G26" s="124"/>
      <c r="H26" s="40"/>
      <c r="I26" s="40"/>
      <c r="J26" s="40"/>
      <c r="K26" s="41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83</v>
      </c>
      <c r="D2" s="3" t="s">
        <v>24</v>
      </c>
      <c r="E2" s="5"/>
      <c r="F2" s="21" t="str">
        <f>IFERROR(__xludf.DUMMYFUNCTION("IF(C2="""","""",GOOGLEFINANCE(C2,""Name""))"),"Patria Log FII RL")</f>
        <v>Patria Log FII RL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112">
        <v>44628.0</v>
      </c>
      <c r="C4" s="113" t="s">
        <v>73</v>
      </c>
      <c r="D4" s="113">
        <v>1.0</v>
      </c>
      <c r="E4" s="124">
        <v>161.5</v>
      </c>
      <c r="F4" s="124">
        <v>0.0</v>
      </c>
      <c r="G4" s="125">
        <f t="shared" ref="G4:G25" si="1">E4*D4</f>
        <v>161.5</v>
      </c>
      <c r="H4" s="32" t="str">
        <f>IFERROR(__xludf.DUMMYFUNCTION("IF(C2="""","""",SPARKLINE(GOOGLEFINANCE(C2,""price"",TODAY()-K4,TODAY())))"),"")</f>
        <v/>
      </c>
      <c r="K4" s="33">
        <v>30.0</v>
      </c>
    </row>
    <row r="5">
      <c r="B5" s="112">
        <v>44743.0</v>
      </c>
      <c r="C5" s="113" t="s">
        <v>73</v>
      </c>
      <c r="D5" s="113">
        <v>1.0</v>
      </c>
      <c r="E5" s="124">
        <v>161.15</v>
      </c>
      <c r="F5" s="124">
        <v>0.0</v>
      </c>
      <c r="G5" s="125">
        <f t="shared" si="1"/>
        <v>161.15</v>
      </c>
      <c r="K5" s="34"/>
    </row>
    <row r="6">
      <c r="B6" s="112">
        <v>44841.0</v>
      </c>
      <c r="C6" s="113" t="s">
        <v>73</v>
      </c>
      <c r="D6" s="113">
        <v>1.0</v>
      </c>
      <c r="E6" s="124">
        <v>168.68</v>
      </c>
      <c r="F6" s="124">
        <v>0.0</v>
      </c>
      <c r="G6" s="125">
        <f t="shared" si="1"/>
        <v>168.68</v>
      </c>
      <c r="H6" s="15"/>
      <c r="I6" s="15"/>
      <c r="J6" s="15"/>
      <c r="K6" s="34"/>
    </row>
    <row r="7">
      <c r="B7" s="112">
        <v>44999.0</v>
      </c>
      <c r="C7" s="113" t="s">
        <v>73</v>
      </c>
      <c r="D7" s="113">
        <v>2.0</v>
      </c>
      <c r="E7" s="124">
        <v>160.2</v>
      </c>
      <c r="F7" s="124">
        <v>0.0</v>
      </c>
      <c r="G7" s="125">
        <f t="shared" si="1"/>
        <v>320.4</v>
      </c>
      <c r="K7" s="35"/>
    </row>
    <row r="8">
      <c r="B8" s="116">
        <v>45246.0</v>
      </c>
      <c r="C8" s="113" t="s">
        <v>73</v>
      </c>
      <c r="D8" s="113">
        <v>1.0</v>
      </c>
      <c r="E8" s="124">
        <v>160.01</v>
      </c>
      <c r="F8" s="124">
        <v>0.0</v>
      </c>
      <c r="G8" s="125">
        <f t="shared" si="1"/>
        <v>160.01</v>
      </c>
      <c r="K8" s="36"/>
    </row>
    <row r="9">
      <c r="B9" s="112">
        <v>45300.0</v>
      </c>
      <c r="C9" s="113" t="s">
        <v>73</v>
      </c>
      <c r="D9" s="113">
        <v>1.0</v>
      </c>
      <c r="E9" s="124">
        <v>162.1</v>
      </c>
      <c r="F9" s="124">
        <v>0.0</v>
      </c>
      <c r="G9" s="125">
        <f t="shared" si="1"/>
        <v>162.1</v>
      </c>
      <c r="K9" s="36"/>
    </row>
    <row r="10">
      <c r="B10" s="112">
        <v>45341.0</v>
      </c>
      <c r="C10" s="113" t="s">
        <v>73</v>
      </c>
      <c r="D10" s="113">
        <v>1.0</v>
      </c>
      <c r="E10" s="124">
        <v>165.6</v>
      </c>
      <c r="F10" s="124">
        <v>0.0</v>
      </c>
      <c r="G10" s="125">
        <f t="shared" si="1"/>
        <v>165.6</v>
      </c>
      <c r="I10" s="25" t="s">
        <v>32</v>
      </c>
      <c r="J10" s="32">
        <f>SUMIFS(D4:D26,C4:C26,"COMPRA")</f>
        <v>28</v>
      </c>
      <c r="K10" s="36"/>
    </row>
    <row r="11">
      <c r="B11" s="112">
        <v>45426.0</v>
      </c>
      <c r="C11" s="113" t="s">
        <v>73</v>
      </c>
      <c r="D11" s="113">
        <v>1.0</v>
      </c>
      <c r="E11" s="124">
        <v>161.59</v>
      </c>
      <c r="F11" s="124">
        <v>0.0</v>
      </c>
      <c r="G11" s="125">
        <f t="shared" si="1"/>
        <v>161.59</v>
      </c>
      <c r="I11" s="25" t="s">
        <v>33</v>
      </c>
      <c r="J11" s="32">
        <f>SUMIFS(D4:D26,C4:C26,"VENDA")</f>
        <v>0</v>
      </c>
      <c r="K11" s="36"/>
    </row>
    <row r="12">
      <c r="B12" s="112">
        <v>45453.0</v>
      </c>
      <c r="C12" s="113" t="s">
        <v>73</v>
      </c>
      <c r="D12" s="113">
        <v>1.0</v>
      </c>
      <c r="E12" s="124">
        <v>160.0</v>
      </c>
      <c r="F12" s="124">
        <v>0.0</v>
      </c>
      <c r="G12" s="125">
        <f t="shared" si="1"/>
        <v>160</v>
      </c>
      <c r="I12" s="25" t="s">
        <v>34</v>
      </c>
      <c r="J12" s="32">
        <f>J10-J11</f>
        <v>28</v>
      </c>
      <c r="K12" s="36"/>
    </row>
    <row r="13">
      <c r="B13" s="112">
        <v>45505.0</v>
      </c>
      <c r="C13" s="113" t="s">
        <v>73</v>
      </c>
      <c r="D13" s="113">
        <v>1.0</v>
      </c>
      <c r="E13" s="124">
        <v>159.41</v>
      </c>
      <c r="F13" s="124">
        <v>0.0</v>
      </c>
      <c r="G13" s="125">
        <f t="shared" si="1"/>
        <v>159.41</v>
      </c>
      <c r="I13" s="25" t="s">
        <v>35</v>
      </c>
      <c r="J13" s="37">
        <f>SUMIFS(G4:G26,C4:C26,"COMPRA")</f>
        <v>4422.38</v>
      </c>
      <c r="K13" s="36"/>
    </row>
    <row r="14">
      <c r="B14" s="112">
        <v>45551.0</v>
      </c>
      <c r="C14" s="113" t="s">
        <v>73</v>
      </c>
      <c r="D14" s="113">
        <v>1.0</v>
      </c>
      <c r="E14" s="124">
        <v>160.23</v>
      </c>
      <c r="F14" s="124">
        <v>0.0</v>
      </c>
      <c r="G14" s="125">
        <f t="shared" si="1"/>
        <v>160.23</v>
      </c>
      <c r="I14" s="25" t="s">
        <v>36</v>
      </c>
      <c r="J14" s="37">
        <f>SUMIFS(E4:E26,C4:C26,"VENDA")</f>
        <v>0</v>
      </c>
      <c r="K14" s="36"/>
    </row>
    <row r="15">
      <c r="B15" s="116">
        <v>45595.0</v>
      </c>
      <c r="C15" s="113" t="s">
        <v>73</v>
      </c>
      <c r="D15" s="113">
        <v>4.0</v>
      </c>
      <c r="E15" s="124">
        <v>155.54</v>
      </c>
      <c r="F15" s="124">
        <v>0.0</v>
      </c>
      <c r="G15" s="125">
        <f t="shared" si="1"/>
        <v>622.16</v>
      </c>
      <c r="I15" s="7" t="s">
        <v>37</v>
      </c>
      <c r="J15" s="37">
        <f>SUM(F4:F26)</f>
        <v>0</v>
      </c>
      <c r="K15" s="36"/>
    </row>
    <row r="16">
      <c r="B16" s="112">
        <v>45628.0</v>
      </c>
      <c r="C16" s="113" t="s">
        <v>73</v>
      </c>
      <c r="D16" s="113">
        <v>1.0</v>
      </c>
      <c r="E16" s="124">
        <v>150.07</v>
      </c>
      <c r="F16" s="124">
        <v>0.0</v>
      </c>
      <c r="G16" s="125">
        <f t="shared" si="1"/>
        <v>150.07</v>
      </c>
      <c r="I16" s="25" t="s">
        <v>10</v>
      </c>
      <c r="J16" s="37">
        <f>IF(J10&lt;&gt;0,((J13+J15)/J10),"")</f>
        <v>157.9421429</v>
      </c>
      <c r="K16" s="36"/>
    </row>
    <row r="17">
      <c r="B17" s="112">
        <v>45667.0</v>
      </c>
      <c r="C17" s="113" t="s">
        <v>73</v>
      </c>
      <c r="D17" s="113">
        <v>1.0</v>
      </c>
      <c r="E17" s="124">
        <v>151.01</v>
      </c>
      <c r="F17" s="124">
        <v>0.0</v>
      </c>
      <c r="G17" s="125">
        <f t="shared" si="1"/>
        <v>151.01</v>
      </c>
      <c r="K17" s="36"/>
    </row>
    <row r="18">
      <c r="B18" s="112">
        <v>45758.0</v>
      </c>
      <c r="C18" s="113" t="s">
        <v>73</v>
      </c>
      <c r="D18" s="113">
        <v>1.0</v>
      </c>
      <c r="E18" s="124">
        <v>152.33</v>
      </c>
      <c r="F18" s="124">
        <v>0.0</v>
      </c>
      <c r="G18" s="125">
        <f t="shared" si="1"/>
        <v>152.33</v>
      </c>
      <c r="K18" s="36"/>
    </row>
    <row r="19">
      <c r="B19" s="112">
        <v>45848.0</v>
      </c>
      <c r="C19" s="113" t="s">
        <v>73</v>
      </c>
      <c r="D19" s="113">
        <v>1.0</v>
      </c>
      <c r="E19" s="124">
        <v>154.98</v>
      </c>
      <c r="F19" s="124">
        <v>0.0</v>
      </c>
      <c r="G19" s="125">
        <f t="shared" si="1"/>
        <v>154.98</v>
      </c>
      <c r="K19" s="36"/>
    </row>
    <row r="20">
      <c r="B20" s="112">
        <v>45922.0</v>
      </c>
      <c r="C20" s="113" t="s">
        <v>73</v>
      </c>
      <c r="D20" s="113">
        <v>1.0</v>
      </c>
      <c r="E20" s="124">
        <v>159.17</v>
      </c>
      <c r="F20" s="124">
        <v>0.0</v>
      </c>
      <c r="G20" s="125">
        <f t="shared" si="1"/>
        <v>159.17</v>
      </c>
      <c r="K20" s="36"/>
    </row>
    <row r="21">
      <c r="B21" s="112">
        <v>45939.0</v>
      </c>
      <c r="C21" s="113" t="s">
        <v>73</v>
      </c>
      <c r="D21" s="127">
        <v>1.0</v>
      </c>
      <c r="E21" s="124">
        <v>159.72</v>
      </c>
      <c r="F21" s="124">
        <v>0.0</v>
      </c>
      <c r="G21" s="125">
        <f t="shared" si="1"/>
        <v>159.72</v>
      </c>
      <c r="K21" s="36"/>
    </row>
    <row r="22">
      <c r="B22" s="112">
        <v>46000.0</v>
      </c>
      <c r="C22" s="113" t="s">
        <v>73</v>
      </c>
      <c r="D22" s="126">
        <v>1.0</v>
      </c>
      <c r="E22" s="124">
        <v>159.24</v>
      </c>
      <c r="F22" s="124">
        <v>0.0</v>
      </c>
      <c r="G22" s="125">
        <f t="shared" si="1"/>
        <v>159.24</v>
      </c>
      <c r="K22" s="36"/>
    </row>
    <row r="23">
      <c r="B23" s="112">
        <v>46051.0</v>
      </c>
      <c r="C23" s="113" t="s">
        <v>73</v>
      </c>
      <c r="D23" s="126">
        <v>1.0</v>
      </c>
      <c r="E23" s="124">
        <v>157.63</v>
      </c>
      <c r="F23" s="124">
        <v>0.0</v>
      </c>
      <c r="G23" s="125">
        <f t="shared" si="1"/>
        <v>157.63</v>
      </c>
      <c r="K23" s="36"/>
    </row>
    <row r="24">
      <c r="B24" s="112">
        <v>46087.0</v>
      </c>
      <c r="C24" s="113" t="s">
        <v>73</v>
      </c>
      <c r="D24" s="126">
        <v>2.0</v>
      </c>
      <c r="E24" s="124">
        <v>158.42</v>
      </c>
      <c r="F24" s="124">
        <v>0.0</v>
      </c>
      <c r="G24" s="125">
        <f t="shared" si="1"/>
        <v>316.84</v>
      </c>
      <c r="K24" s="36"/>
    </row>
    <row r="25">
      <c r="B25" s="112" t="s">
        <v>85</v>
      </c>
      <c r="C25" s="113" t="s">
        <v>73</v>
      </c>
      <c r="D25" s="126">
        <v>2.0</v>
      </c>
      <c r="E25" s="124">
        <v>149.28</v>
      </c>
      <c r="F25" s="124">
        <v>0.0</v>
      </c>
      <c r="G25" s="125">
        <f t="shared" si="1"/>
        <v>298.56</v>
      </c>
      <c r="K25" s="36"/>
    </row>
    <row r="26">
      <c r="B26" s="112"/>
      <c r="C26" s="113"/>
      <c r="D26" s="127"/>
      <c r="E26" s="124"/>
      <c r="F26" s="124"/>
      <c r="G26" s="125"/>
      <c r="H26" s="40"/>
      <c r="I26" s="40"/>
      <c r="J26" s="40"/>
      <c r="K26" s="41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84</v>
      </c>
      <c r="D2" s="3" t="s">
        <v>24</v>
      </c>
      <c r="E2" s="5"/>
      <c r="F2" s="21" t="str">
        <f>IFERROR(__xludf.DUMMYFUNCTION("IF(C2="""","""",GOOGLEFINANCE(C2,""Name""))"),"Vinci Shopping Centers FI Imobiliario")</f>
        <v>Vinci Shopping Centers FI Imobiliario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112">
        <v>44628.0</v>
      </c>
      <c r="C4" s="113" t="s">
        <v>73</v>
      </c>
      <c r="D4" s="113">
        <v>1.0</v>
      </c>
      <c r="E4" s="124">
        <v>98.73</v>
      </c>
      <c r="F4" s="124">
        <v>0.0</v>
      </c>
      <c r="G4" s="125">
        <f t="shared" ref="G4:G26" si="1">E4*D4</f>
        <v>98.73</v>
      </c>
      <c r="H4" s="32" t="str">
        <f>IFERROR(__xludf.DUMMYFUNCTION("IF(C2="""","""",SPARKLINE(GOOGLEFINANCE(C2,""price"",TODAY()-K4,TODAY())))"),"")</f>
        <v/>
      </c>
      <c r="K4" s="33">
        <v>30.0</v>
      </c>
    </row>
    <row r="5">
      <c r="B5" s="112">
        <v>44655.0</v>
      </c>
      <c r="C5" s="113" t="s">
        <v>73</v>
      </c>
      <c r="D5" s="113">
        <v>1.0</v>
      </c>
      <c r="E5" s="124">
        <v>100.33</v>
      </c>
      <c r="F5" s="124">
        <v>0.0</v>
      </c>
      <c r="G5" s="125">
        <f t="shared" si="1"/>
        <v>100.33</v>
      </c>
      <c r="K5" s="34"/>
    </row>
    <row r="6">
      <c r="B6" s="112">
        <v>44841.0</v>
      </c>
      <c r="C6" s="113" t="s">
        <v>73</v>
      </c>
      <c r="D6" s="113">
        <v>2.0</v>
      </c>
      <c r="E6" s="124">
        <v>112.6</v>
      </c>
      <c r="F6" s="124">
        <v>0.0</v>
      </c>
      <c r="G6" s="125">
        <f t="shared" si="1"/>
        <v>225.2</v>
      </c>
      <c r="H6" s="15"/>
      <c r="I6" s="15"/>
      <c r="J6" s="15"/>
      <c r="K6" s="34"/>
    </row>
    <row r="7">
      <c r="B7" s="112">
        <v>44935.0</v>
      </c>
      <c r="C7" s="113" t="s">
        <v>73</v>
      </c>
      <c r="D7" s="113">
        <v>1.0</v>
      </c>
      <c r="E7" s="124">
        <v>104.89</v>
      </c>
      <c r="F7" s="124">
        <v>0.0</v>
      </c>
      <c r="G7" s="125">
        <f t="shared" si="1"/>
        <v>104.89</v>
      </c>
      <c r="K7" s="35"/>
    </row>
    <row r="8">
      <c r="B8" s="112">
        <v>44999.0</v>
      </c>
      <c r="C8" s="113" t="s">
        <v>73</v>
      </c>
      <c r="D8" s="113">
        <v>3.0</v>
      </c>
      <c r="E8" s="124">
        <v>102.68</v>
      </c>
      <c r="F8" s="124">
        <v>0.0</v>
      </c>
      <c r="G8" s="125">
        <f t="shared" si="1"/>
        <v>308.04</v>
      </c>
      <c r="K8" s="36"/>
    </row>
    <row r="9">
      <c r="B9" s="116">
        <v>45246.0</v>
      </c>
      <c r="C9" s="113" t="s">
        <v>73</v>
      </c>
      <c r="D9" s="113">
        <v>1.0</v>
      </c>
      <c r="E9" s="124">
        <v>119.75</v>
      </c>
      <c r="F9" s="124">
        <v>0.0</v>
      </c>
      <c r="G9" s="125">
        <f t="shared" si="1"/>
        <v>119.75</v>
      </c>
      <c r="K9" s="36"/>
    </row>
    <row r="10">
      <c r="B10" s="112">
        <v>45300.0</v>
      </c>
      <c r="C10" s="113" t="s">
        <v>73</v>
      </c>
      <c r="D10" s="113">
        <v>1.0</v>
      </c>
      <c r="E10" s="124">
        <v>120.39</v>
      </c>
      <c r="F10" s="124">
        <v>0.0</v>
      </c>
      <c r="G10" s="125">
        <f t="shared" si="1"/>
        <v>120.39</v>
      </c>
      <c r="I10" s="25" t="s">
        <v>32</v>
      </c>
      <c r="J10" s="32">
        <f>SUMIFS(D4:D27,C4:C27,"COMPRA")</f>
        <v>42</v>
      </c>
      <c r="K10" s="36"/>
    </row>
    <row r="11">
      <c r="B11" s="112">
        <v>45341.0</v>
      </c>
      <c r="C11" s="113" t="s">
        <v>73</v>
      </c>
      <c r="D11" s="113">
        <v>2.0</v>
      </c>
      <c r="E11" s="124">
        <v>121.57</v>
      </c>
      <c r="F11" s="124">
        <v>0.0</v>
      </c>
      <c r="G11" s="125">
        <f t="shared" si="1"/>
        <v>243.14</v>
      </c>
      <c r="I11" s="25" t="s">
        <v>33</v>
      </c>
      <c r="J11" s="32">
        <f>SUMIFS(D4:D27,C4:C27,"VENDA")</f>
        <v>0</v>
      </c>
      <c r="K11" s="36"/>
    </row>
    <row r="12">
      <c r="B12" s="112">
        <v>45426.0</v>
      </c>
      <c r="C12" s="113" t="s">
        <v>73</v>
      </c>
      <c r="D12" s="113">
        <v>1.0</v>
      </c>
      <c r="E12" s="124">
        <v>120.64</v>
      </c>
      <c r="F12" s="124">
        <v>0.0</v>
      </c>
      <c r="G12" s="125">
        <f t="shared" si="1"/>
        <v>120.64</v>
      </c>
      <c r="I12" s="25" t="s">
        <v>34</v>
      </c>
      <c r="J12" s="32">
        <f>J10-J11</f>
        <v>42</v>
      </c>
      <c r="K12" s="36"/>
    </row>
    <row r="13">
      <c r="B13" s="112">
        <v>45453.0</v>
      </c>
      <c r="C13" s="113" t="s">
        <v>73</v>
      </c>
      <c r="D13" s="113">
        <v>1.0</v>
      </c>
      <c r="E13" s="124">
        <v>115.29</v>
      </c>
      <c r="F13" s="124">
        <v>0.0</v>
      </c>
      <c r="G13" s="125">
        <f t="shared" si="1"/>
        <v>115.29</v>
      </c>
      <c r="I13" s="25" t="s">
        <v>35</v>
      </c>
      <c r="J13" s="37">
        <f>SUMIFS(G4:G27,C4:C27,"COMPRA")</f>
        <v>4520.49</v>
      </c>
      <c r="K13" s="36"/>
    </row>
    <row r="14">
      <c r="B14" s="112">
        <v>45505.0</v>
      </c>
      <c r="C14" s="113" t="s">
        <v>73</v>
      </c>
      <c r="D14" s="113">
        <v>1.0</v>
      </c>
      <c r="E14" s="124">
        <v>112.37</v>
      </c>
      <c r="F14" s="124">
        <v>0.0</v>
      </c>
      <c r="G14" s="125">
        <f t="shared" si="1"/>
        <v>112.37</v>
      </c>
      <c r="I14" s="25" t="s">
        <v>36</v>
      </c>
      <c r="J14" s="37">
        <f>SUMIFS(E4:E27,C4:C27,"VENDA")</f>
        <v>0</v>
      </c>
      <c r="K14" s="36"/>
    </row>
    <row r="15">
      <c r="B15" s="112">
        <v>45551.0</v>
      </c>
      <c r="C15" s="113" t="s">
        <v>73</v>
      </c>
      <c r="D15" s="113">
        <v>1.0</v>
      </c>
      <c r="E15" s="124">
        <v>108.95</v>
      </c>
      <c r="F15" s="124">
        <v>0.0</v>
      </c>
      <c r="G15" s="125">
        <f t="shared" si="1"/>
        <v>108.95</v>
      </c>
      <c r="I15" s="7" t="s">
        <v>37</v>
      </c>
      <c r="J15" s="37">
        <f>SUM(F4:F27)</f>
        <v>0</v>
      </c>
      <c r="K15" s="36"/>
    </row>
    <row r="16">
      <c r="B16" s="116">
        <v>45595.0</v>
      </c>
      <c r="C16" s="113" t="s">
        <v>73</v>
      </c>
      <c r="D16" s="113">
        <v>6.0</v>
      </c>
      <c r="E16" s="124">
        <v>104.69</v>
      </c>
      <c r="F16" s="124">
        <v>0.0</v>
      </c>
      <c r="G16" s="125">
        <f t="shared" si="1"/>
        <v>628.14</v>
      </c>
      <c r="I16" s="25" t="s">
        <v>10</v>
      </c>
      <c r="J16" s="37">
        <f>IF(J10&lt;&gt;0,((J13+J15)/J10),"")</f>
        <v>107.6307143</v>
      </c>
      <c r="K16" s="36"/>
    </row>
    <row r="17">
      <c r="B17" s="112">
        <v>45628.0</v>
      </c>
      <c r="C17" s="113" t="s">
        <v>73</v>
      </c>
      <c r="D17" s="113">
        <v>1.0</v>
      </c>
      <c r="E17" s="124">
        <v>96.76</v>
      </c>
      <c r="F17" s="124">
        <v>0.0</v>
      </c>
      <c r="G17" s="125">
        <f t="shared" si="1"/>
        <v>96.76</v>
      </c>
      <c r="K17" s="36"/>
    </row>
    <row r="18">
      <c r="B18" s="112">
        <v>45667.0</v>
      </c>
      <c r="C18" s="113" t="s">
        <v>73</v>
      </c>
      <c r="D18" s="113">
        <v>2.0</v>
      </c>
      <c r="E18" s="124">
        <v>93.81</v>
      </c>
      <c r="F18" s="124">
        <v>0.0</v>
      </c>
      <c r="G18" s="125">
        <f t="shared" si="1"/>
        <v>187.62</v>
      </c>
      <c r="K18" s="36"/>
    </row>
    <row r="19">
      <c r="B19" s="112">
        <v>45758.0</v>
      </c>
      <c r="C19" s="113" t="s">
        <v>73</v>
      </c>
      <c r="D19" s="113">
        <v>1.0</v>
      </c>
      <c r="E19" s="124">
        <v>99.06</v>
      </c>
      <c r="F19" s="124">
        <v>0.0</v>
      </c>
      <c r="G19" s="125">
        <f t="shared" si="1"/>
        <v>99.06</v>
      </c>
      <c r="K19" s="36"/>
    </row>
    <row r="20">
      <c r="B20" s="112">
        <v>45848.0</v>
      </c>
      <c r="C20" s="113" t="s">
        <v>73</v>
      </c>
      <c r="D20" s="113">
        <v>2.0</v>
      </c>
      <c r="E20" s="124">
        <v>103.64</v>
      </c>
      <c r="F20" s="124">
        <v>0.0</v>
      </c>
      <c r="G20" s="125">
        <f t="shared" si="1"/>
        <v>207.28</v>
      </c>
      <c r="K20" s="36"/>
    </row>
    <row r="21">
      <c r="B21" s="128">
        <v>45922.0</v>
      </c>
      <c r="C21" s="113" t="s">
        <v>73</v>
      </c>
      <c r="D21" s="127">
        <v>2.0</v>
      </c>
      <c r="E21" s="124">
        <v>108.33</v>
      </c>
      <c r="F21" s="124">
        <v>0.0</v>
      </c>
      <c r="G21" s="125">
        <f t="shared" si="1"/>
        <v>216.66</v>
      </c>
      <c r="K21" s="36"/>
    </row>
    <row r="22">
      <c r="B22" s="112">
        <v>45939.0</v>
      </c>
      <c r="C22" s="113" t="s">
        <v>73</v>
      </c>
      <c r="D22" s="113">
        <v>2.0</v>
      </c>
      <c r="E22" s="124">
        <v>109.03</v>
      </c>
      <c r="F22" s="124">
        <v>0.0</v>
      </c>
      <c r="G22" s="125">
        <f t="shared" si="1"/>
        <v>218.06</v>
      </c>
      <c r="K22" s="36"/>
    </row>
    <row r="23">
      <c r="B23" s="112">
        <v>46000.0</v>
      </c>
      <c r="C23" s="113" t="s">
        <v>73</v>
      </c>
      <c r="D23" s="113">
        <v>2.0</v>
      </c>
      <c r="E23" s="124">
        <v>110.83</v>
      </c>
      <c r="F23" s="124">
        <v>0.0</v>
      </c>
      <c r="G23" s="125">
        <f t="shared" si="1"/>
        <v>221.66</v>
      </c>
      <c r="K23" s="36"/>
    </row>
    <row r="24">
      <c r="B24" s="112">
        <v>46051.0</v>
      </c>
      <c r="C24" s="113" t="s">
        <v>73</v>
      </c>
      <c r="D24" s="113">
        <v>2.0</v>
      </c>
      <c r="E24" s="124">
        <v>108.94</v>
      </c>
      <c r="F24" s="124">
        <v>0.0</v>
      </c>
      <c r="G24" s="125">
        <f t="shared" si="1"/>
        <v>217.88</v>
      </c>
      <c r="K24" s="36"/>
    </row>
    <row r="25">
      <c r="B25" s="112">
        <v>46087.0</v>
      </c>
      <c r="C25" s="113" t="s">
        <v>73</v>
      </c>
      <c r="D25" s="113">
        <v>3.0</v>
      </c>
      <c r="E25" s="124">
        <v>111.9</v>
      </c>
      <c r="F25" s="124">
        <v>0.0</v>
      </c>
      <c r="G25" s="125">
        <f t="shared" si="1"/>
        <v>335.7</v>
      </c>
      <c r="K25" s="36"/>
    </row>
    <row r="26">
      <c r="B26" s="112">
        <v>46205.0</v>
      </c>
      <c r="C26" s="113" t="s">
        <v>73</v>
      </c>
      <c r="D26" s="113">
        <v>3.0</v>
      </c>
      <c r="E26" s="124">
        <v>104.65</v>
      </c>
      <c r="F26" s="124">
        <v>0.0</v>
      </c>
      <c r="G26" s="125">
        <f t="shared" si="1"/>
        <v>313.95</v>
      </c>
      <c r="K26" s="36"/>
    </row>
    <row r="27">
      <c r="B27" s="128"/>
      <c r="C27" s="113"/>
      <c r="D27" s="127"/>
      <c r="E27" s="124"/>
      <c r="F27" s="124"/>
      <c r="G27" s="125"/>
      <c r="H27" s="40"/>
      <c r="I27" s="40"/>
      <c r="J27" s="40"/>
      <c r="K27" s="41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23</v>
      </c>
      <c r="D2" s="3" t="s">
        <v>24</v>
      </c>
      <c r="E2" s="5"/>
      <c r="F2" s="21" t="str">
        <f>IFERROR(__xludf.DUMMYFUNCTION("IF(C2="""","""",GOOGLEFINANCE(C2,""Name""))"),"Itau Unibanco Holding Cedear")</f>
        <v>Itau Unibanco Holding Cedear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130" t="s">
        <v>27</v>
      </c>
      <c r="F3" s="130" t="s">
        <v>28</v>
      </c>
      <c r="G3" s="130" t="s">
        <v>29</v>
      </c>
      <c r="H3" s="26" t="s">
        <v>30</v>
      </c>
      <c r="I3" s="27"/>
      <c r="J3" s="28"/>
      <c r="K3" s="29" t="s">
        <v>31</v>
      </c>
    </row>
    <row r="4">
      <c r="B4" s="112">
        <v>44628.0</v>
      </c>
      <c r="C4" s="113" t="s">
        <v>73</v>
      </c>
      <c r="D4" s="113">
        <v>5.0</v>
      </c>
      <c r="E4" s="124">
        <v>20.54</v>
      </c>
      <c r="F4" s="124">
        <v>0.0</v>
      </c>
      <c r="G4" s="125">
        <f t="shared" ref="G4:G23" si="1">E4*D4</f>
        <v>102.7</v>
      </c>
      <c r="H4" s="32" t="str">
        <f>IFERROR(__xludf.DUMMYFUNCTION("IF(C2="""","""",SPARKLINE(GOOGLEFINANCE(C2,""price"",TODAY()-K4,TODAY())))"),"")</f>
        <v/>
      </c>
      <c r="K4" s="33">
        <v>30.0</v>
      </c>
    </row>
    <row r="5">
      <c r="B5" s="112">
        <v>44655.0</v>
      </c>
      <c r="C5" s="113" t="s">
        <v>73</v>
      </c>
      <c r="D5" s="113">
        <v>5.0</v>
      </c>
      <c r="E5" s="124">
        <v>23.44</v>
      </c>
      <c r="F5" s="124">
        <v>0.0</v>
      </c>
      <c r="G5" s="125">
        <f t="shared" si="1"/>
        <v>117.2</v>
      </c>
      <c r="K5" s="34"/>
    </row>
    <row r="6">
      <c r="B6" s="112">
        <v>44743.0</v>
      </c>
      <c r="C6" s="113" t="s">
        <v>73</v>
      </c>
      <c r="D6" s="113">
        <v>3.0</v>
      </c>
      <c r="E6" s="124">
        <v>19.7</v>
      </c>
      <c r="F6" s="124">
        <v>0.0</v>
      </c>
      <c r="G6" s="125">
        <f t="shared" si="1"/>
        <v>59.1</v>
      </c>
      <c r="H6" s="15"/>
      <c r="I6" s="15"/>
      <c r="J6" s="15"/>
      <c r="K6" s="34"/>
    </row>
    <row r="7">
      <c r="B7" s="112">
        <v>44841.0</v>
      </c>
      <c r="C7" s="113" t="s">
        <v>73</v>
      </c>
      <c r="D7" s="113">
        <v>5.0</v>
      </c>
      <c r="E7" s="124">
        <v>22.23</v>
      </c>
      <c r="F7" s="124">
        <v>0.0</v>
      </c>
      <c r="G7" s="125">
        <f t="shared" si="1"/>
        <v>111.15</v>
      </c>
      <c r="K7" s="35"/>
    </row>
    <row r="8">
      <c r="B8" s="112">
        <v>44935.0</v>
      </c>
      <c r="C8" s="113" t="s">
        <v>73</v>
      </c>
      <c r="D8" s="113">
        <v>5.0</v>
      </c>
      <c r="E8" s="124">
        <v>22.11</v>
      </c>
      <c r="F8" s="124">
        <v>0.0</v>
      </c>
      <c r="G8" s="125">
        <f t="shared" si="1"/>
        <v>110.55</v>
      </c>
      <c r="K8" s="36"/>
    </row>
    <row r="9">
      <c r="B9" s="112">
        <v>44999.0</v>
      </c>
      <c r="C9" s="113" t="s">
        <v>73</v>
      </c>
      <c r="D9" s="113">
        <v>15.0</v>
      </c>
      <c r="E9" s="124">
        <v>20.59</v>
      </c>
      <c r="F9" s="124">
        <v>0.0</v>
      </c>
      <c r="G9" s="125">
        <f t="shared" si="1"/>
        <v>308.85</v>
      </c>
      <c r="K9" s="36"/>
    </row>
    <row r="10">
      <c r="B10" s="116">
        <v>45246.0</v>
      </c>
      <c r="C10" s="113" t="s">
        <v>73</v>
      </c>
      <c r="D10" s="113">
        <v>7.0</v>
      </c>
      <c r="E10" s="124">
        <v>25.59</v>
      </c>
      <c r="F10" s="124">
        <v>0.0</v>
      </c>
      <c r="G10" s="125">
        <f t="shared" si="1"/>
        <v>179.13</v>
      </c>
      <c r="I10" s="25" t="s">
        <v>32</v>
      </c>
      <c r="J10" s="32">
        <f>SUMIFS(D4:D25,C4:C25,"COMPRA")</f>
        <v>142</v>
      </c>
      <c r="K10" s="36"/>
    </row>
    <row r="11">
      <c r="B11" s="112">
        <v>45300.0</v>
      </c>
      <c r="C11" s="113" t="s">
        <v>73</v>
      </c>
      <c r="D11" s="113">
        <v>5.0</v>
      </c>
      <c r="E11" s="124">
        <v>27.97</v>
      </c>
      <c r="F11" s="124">
        <v>0.0</v>
      </c>
      <c r="G11" s="125">
        <f t="shared" si="1"/>
        <v>139.85</v>
      </c>
      <c r="I11" s="25" t="s">
        <v>33</v>
      </c>
      <c r="J11" s="32">
        <f>SUMIFS(D4:D25,C4:C25,"VENDA")</f>
        <v>0</v>
      </c>
      <c r="K11" s="36"/>
    </row>
    <row r="12">
      <c r="B12" s="112">
        <v>45341.0</v>
      </c>
      <c r="C12" s="113" t="s">
        <v>73</v>
      </c>
      <c r="D12" s="113">
        <v>8.0</v>
      </c>
      <c r="E12" s="124">
        <v>29.9</v>
      </c>
      <c r="F12" s="124">
        <v>0.0</v>
      </c>
      <c r="G12" s="125">
        <f t="shared" si="1"/>
        <v>239.2</v>
      </c>
      <c r="I12" s="25" t="s">
        <v>34</v>
      </c>
      <c r="J12" s="32">
        <f>J10-J11</f>
        <v>142</v>
      </c>
      <c r="K12" s="36"/>
    </row>
    <row r="13">
      <c r="B13" s="112">
        <v>45453.0</v>
      </c>
      <c r="C13" s="113" t="s">
        <v>73</v>
      </c>
      <c r="D13" s="113">
        <v>5.0</v>
      </c>
      <c r="E13" s="124">
        <v>27.02</v>
      </c>
      <c r="F13" s="124">
        <v>0.0</v>
      </c>
      <c r="G13" s="125">
        <f t="shared" si="1"/>
        <v>135.1</v>
      </c>
      <c r="I13" s="25" t="s">
        <v>35</v>
      </c>
      <c r="J13" s="37">
        <f>SUMIFS(G4:G25,C4:C25,"COMPRA")</f>
        <v>4147.78</v>
      </c>
      <c r="K13" s="36"/>
    </row>
    <row r="14">
      <c r="B14" s="112">
        <v>45505.0</v>
      </c>
      <c r="C14" s="113" t="s">
        <v>73</v>
      </c>
      <c r="D14" s="113">
        <v>4.0</v>
      </c>
      <c r="E14" s="124">
        <v>28.88</v>
      </c>
      <c r="F14" s="124">
        <v>0.0</v>
      </c>
      <c r="G14" s="125">
        <f t="shared" si="1"/>
        <v>115.52</v>
      </c>
      <c r="I14" s="25" t="s">
        <v>36</v>
      </c>
      <c r="J14" s="37">
        <f>SUMIFS(E4:E25,C4:C25,"VENDA")</f>
        <v>0</v>
      </c>
      <c r="K14" s="36"/>
    </row>
    <row r="15">
      <c r="B15" s="116">
        <v>45595.0</v>
      </c>
      <c r="C15" s="113" t="s">
        <v>73</v>
      </c>
      <c r="D15" s="113">
        <v>20.0</v>
      </c>
      <c r="E15" s="124">
        <v>30.41</v>
      </c>
      <c r="F15" s="124">
        <v>0.0</v>
      </c>
      <c r="G15" s="125">
        <f t="shared" si="1"/>
        <v>608.2</v>
      </c>
      <c r="I15" s="7" t="s">
        <v>37</v>
      </c>
      <c r="J15" s="37">
        <f>SUM(F4:F25)</f>
        <v>0</v>
      </c>
      <c r="K15" s="36"/>
    </row>
    <row r="16">
      <c r="B16" s="112">
        <v>45628.0</v>
      </c>
      <c r="C16" s="113" t="s">
        <v>73</v>
      </c>
      <c r="D16" s="113">
        <v>5.0</v>
      </c>
      <c r="E16" s="124">
        <v>28.19</v>
      </c>
      <c r="F16" s="124">
        <v>0.0</v>
      </c>
      <c r="G16" s="125">
        <f t="shared" si="1"/>
        <v>140.95</v>
      </c>
      <c r="I16" s="25" t="s">
        <v>10</v>
      </c>
      <c r="J16" s="37">
        <f>IF(J10&lt;&gt;0,((J13+J15)/J10),"")</f>
        <v>29.20971831</v>
      </c>
      <c r="K16" s="36"/>
    </row>
    <row r="17">
      <c r="B17" s="112">
        <v>45667.0</v>
      </c>
      <c r="C17" s="113" t="s">
        <v>73</v>
      </c>
      <c r="D17" s="113">
        <v>8.0</v>
      </c>
      <c r="E17" s="124">
        <v>27.25</v>
      </c>
      <c r="F17" s="124">
        <v>0.0</v>
      </c>
      <c r="G17" s="125">
        <f t="shared" si="1"/>
        <v>218</v>
      </c>
      <c r="K17" s="36"/>
    </row>
    <row r="18">
      <c r="B18" s="112">
        <v>45758.0</v>
      </c>
      <c r="C18" s="113" t="s">
        <v>73</v>
      </c>
      <c r="D18" s="113">
        <v>5.0</v>
      </c>
      <c r="E18" s="124">
        <v>28.27</v>
      </c>
      <c r="F18" s="124">
        <v>0.0</v>
      </c>
      <c r="G18" s="125">
        <f t="shared" si="1"/>
        <v>141.35</v>
      </c>
      <c r="K18" s="36"/>
    </row>
    <row r="19">
      <c r="B19" s="112">
        <v>45848.0</v>
      </c>
      <c r="C19" s="113" t="s">
        <v>73</v>
      </c>
      <c r="D19" s="113">
        <v>8.0</v>
      </c>
      <c r="E19" s="124">
        <v>31.72</v>
      </c>
      <c r="F19" s="124">
        <v>0.0</v>
      </c>
      <c r="G19" s="125">
        <f t="shared" si="1"/>
        <v>253.76</v>
      </c>
      <c r="K19" s="36"/>
    </row>
    <row r="20">
      <c r="B20" s="112">
        <v>45922.0</v>
      </c>
      <c r="C20" s="113" t="s">
        <v>73</v>
      </c>
      <c r="D20" s="113">
        <v>8.0</v>
      </c>
      <c r="E20" s="124">
        <v>34.14</v>
      </c>
      <c r="F20" s="124">
        <v>0.0</v>
      </c>
      <c r="G20" s="125">
        <f t="shared" si="1"/>
        <v>273.12</v>
      </c>
      <c r="K20" s="36"/>
    </row>
    <row r="21">
      <c r="B21" s="129">
        <v>46051.0</v>
      </c>
      <c r="C21" s="113" t="s">
        <v>73</v>
      </c>
      <c r="D21" s="126">
        <v>6.0</v>
      </c>
      <c r="E21" s="124">
        <v>42.66</v>
      </c>
      <c r="F21" s="124">
        <v>0.0</v>
      </c>
      <c r="G21" s="125">
        <f t="shared" si="1"/>
        <v>255.96</v>
      </c>
      <c r="K21" s="36"/>
    </row>
    <row r="22">
      <c r="B22" s="129">
        <v>46087.0</v>
      </c>
      <c r="C22" s="113" t="s">
        <v>73</v>
      </c>
      <c r="D22" s="126">
        <v>8.0</v>
      </c>
      <c r="E22" s="124">
        <v>40.78</v>
      </c>
      <c r="F22" s="124">
        <v>0.0</v>
      </c>
      <c r="G22" s="125">
        <f t="shared" si="1"/>
        <v>326.24</v>
      </c>
      <c r="K22" s="36"/>
    </row>
    <row r="23">
      <c r="B23" s="129">
        <v>46205.0</v>
      </c>
      <c r="C23" s="113" t="s">
        <v>73</v>
      </c>
      <c r="D23" s="126">
        <v>7.0</v>
      </c>
      <c r="E23" s="124">
        <v>44.55</v>
      </c>
      <c r="F23" s="124">
        <v>0.0</v>
      </c>
      <c r="G23" s="125">
        <f t="shared" si="1"/>
        <v>311.85</v>
      </c>
      <c r="K23" s="36"/>
    </row>
    <row r="24">
      <c r="B24" s="129"/>
      <c r="C24" s="126"/>
      <c r="D24" s="126"/>
      <c r="E24" s="124"/>
      <c r="F24" s="124"/>
      <c r="G24" s="125"/>
      <c r="K24" s="36"/>
    </row>
    <row r="25">
      <c r="B25" s="128"/>
      <c r="C25" s="127"/>
      <c r="D25" s="127"/>
      <c r="E25" s="124"/>
      <c r="F25" s="124"/>
      <c r="G25" s="125"/>
      <c r="H25" s="40"/>
      <c r="I25" s="40"/>
      <c r="J25" s="40"/>
      <c r="K25" s="41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86</v>
      </c>
      <c r="D2" s="3" t="s">
        <v>24</v>
      </c>
      <c r="E2" s="5"/>
      <c r="F2" s="21" t="str">
        <f>IFERROR(__xludf.DUMMYFUNCTION("IF(C2="""","""",GOOGLEFINANCE(C2,""Name""))"),"Weg Cedear")</f>
        <v>Weg Cedear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112">
        <v>44628.0</v>
      </c>
      <c r="C4" s="113" t="s">
        <v>73</v>
      </c>
      <c r="D4" s="113">
        <v>4.0</v>
      </c>
      <c r="E4" s="124">
        <v>31.72</v>
      </c>
      <c r="F4" s="124">
        <v>0.0</v>
      </c>
      <c r="G4" s="125">
        <f t="shared" ref="G4:G26" si="1">E4*D4</f>
        <v>126.88</v>
      </c>
      <c r="H4" s="32" t="str">
        <f>IFERROR(__xludf.DUMMYFUNCTION("IF(C2="""","""",SPARKLINE(GOOGLEFINANCE(C2,""price"",TODAY()-K4,TODAY())))"),"")</f>
        <v/>
      </c>
      <c r="K4" s="33">
        <v>60.0</v>
      </c>
    </row>
    <row r="5">
      <c r="B5" s="112">
        <v>44655.0</v>
      </c>
      <c r="C5" s="113" t="s">
        <v>73</v>
      </c>
      <c r="D5" s="113">
        <v>4.0</v>
      </c>
      <c r="E5" s="124">
        <v>34.8</v>
      </c>
      <c r="F5" s="124">
        <v>0.0</v>
      </c>
      <c r="G5" s="125">
        <f t="shared" si="1"/>
        <v>139.2</v>
      </c>
      <c r="K5" s="34"/>
    </row>
    <row r="6">
      <c r="B6" s="112">
        <v>44841.0</v>
      </c>
      <c r="C6" s="113" t="s">
        <v>73</v>
      </c>
      <c r="D6" s="113">
        <v>4.0</v>
      </c>
      <c r="E6" s="124">
        <v>33.54</v>
      </c>
      <c r="F6" s="124">
        <v>0.0</v>
      </c>
      <c r="G6" s="125">
        <f t="shared" si="1"/>
        <v>134.16</v>
      </c>
      <c r="H6" s="15"/>
      <c r="I6" s="15"/>
      <c r="J6" s="15"/>
      <c r="K6" s="34"/>
    </row>
    <row r="7">
      <c r="B7" s="112">
        <v>44999.0</v>
      </c>
      <c r="C7" s="113" t="s">
        <v>73</v>
      </c>
      <c r="D7" s="113">
        <v>8.0</v>
      </c>
      <c r="E7" s="124">
        <v>40.17</v>
      </c>
      <c r="F7" s="124">
        <v>0.0</v>
      </c>
      <c r="G7" s="125">
        <f t="shared" si="1"/>
        <v>321.36</v>
      </c>
      <c r="K7" s="35"/>
    </row>
    <row r="8">
      <c r="B8" s="116">
        <v>45246.0</v>
      </c>
      <c r="C8" s="113" t="s">
        <v>73</v>
      </c>
      <c r="D8" s="113">
        <v>6.0</v>
      </c>
      <c r="E8" s="124">
        <v>33.53</v>
      </c>
      <c r="F8" s="124">
        <v>0.0</v>
      </c>
      <c r="G8" s="125">
        <f t="shared" si="1"/>
        <v>201.18</v>
      </c>
      <c r="K8" s="36"/>
    </row>
    <row r="9">
      <c r="B9" s="116">
        <v>45246.0</v>
      </c>
      <c r="C9" s="113" t="s">
        <v>73</v>
      </c>
      <c r="D9" s="113">
        <v>2.0</v>
      </c>
      <c r="E9" s="124">
        <v>33.54</v>
      </c>
      <c r="F9" s="124">
        <v>0.0</v>
      </c>
      <c r="G9" s="125">
        <f t="shared" si="1"/>
        <v>67.08</v>
      </c>
      <c r="K9" s="36"/>
    </row>
    <row r="10">
      <c r="B10" s="116">
        <v>45246.0</v>
      </c>
      <c r="C10" s="113" t="s">
        <v>73</v>
      </c>
      <c r="D10" s="113">
        <v>2.0</v>
      </c>
      <c r="E10" s="124">
        <v>33.47</v>
      </c>
      <c r="F10" s="124">
        <v>0.0</v>
      </c>
      <c r="G10" s="125">
        <f t="shared" si="1"/>
        <v>66.94</v>
      </c>
      <c r="I10" s="25" t="s">
        <v>32</v>
      </c>
      <c r="J10" s="32">
        <f>SUMIFS(D4:D29,C4:C29,"COMPRA")</f>
        <v>126</v>
      </c>
      <c r="K10" s="36"/>
    </row>
    <row r="11">
      <c r="B11" s="112">
        <v>45300.0</v>
      </c>
      <c r="C11" s="113" t="s">
        <v>73</v>
      </c>
      <c r="D11" s="113">
        <v>3.0</v>
      </c>
      <c r="E11" s="124">
        <v>35.83</v>
      </c>
      <c r="F11" s="124">
        <v>0.0</v>
      </c>
      <c r="G11" s="125">
        <f t="shared" si="1"/>
        <v>107.49</v>
      </c>
      <c r="I11" s="25" t="s">
        <v>33</v>
      </c>
      <c r="J11" s="32">
        <f>SUMIFS(D4:D29,C4:C29,"VENDA")</f>
        <v>0</v>
      </c>
      <c r="K11" s="36"/>
    </row>
    <row r="12">
      <c r="B12" s="112">
        <v>45341.0</v>
      </c>
      <c r="C12" s="113" t="s">
        <v>73</v>
      </c>
      <c r="D12" s="113">
        <v>7.0</v>
      </c>
      <c r="E12" s="124">
        <v>33.44</v>
      </c>
      <c r="F12" s="124">
        <v>0.0</v>
      </c>
      <c r="G12" s="125">
        <f t="shared" si="1"/>
        <v>234.08</v>
      </c>
      <c r="I12" s="25" t="s">
        <v>34</v>
      </c>
      <c r="J12" s="32">
        <f>J10-J11</f>
        <v>126</v>
      </c>
      <c r="K12" s="36"/>
    </row>
    <row r="13">
      <c r="B13" s="112">
        <v>45341.0</v>
      </c>
      <c r="C13" s="113" t="s">
        <v>73</v>
      </c>
      <c r="D13" s="113">
        <v>3.0</v>
      </c>
      <c r="E13" s="124">
        <v>39.54</v>
      </c>
      <c r="F13" s="124">
        <v>0.0</v>
      </c>
      <c r="G13" s="125">
        <f t="shared" si="1"/>
        <v>118.62</v>
      </c>
      <c r="I13" s="25" t="s">
        <v>35</v>
      </c>
      <c r="J13" s="37">
        <f>SUMIFS(G4:G29,C4:C29,"COMPRA")</f>
        <v>5295.45</v>
      </c>
      <c r="K13" s="36"/>
    </row>
    <row r="14">
      <c r="B14" s="112">
        <v>45453.0</v>
      </c>
      <c r="C14" s="113" t="s">
        <v>73</v>
      </c>
      <c r="D14" s="113">
        <v>4.0</v>
      </c>
      <c r="E14" s="124">
        <v>37.95</v>
      </c>
      <c r="F14" s="124">
        <v>0.0</v>
      </c>
      <c r="G14" s="125">
        <f t="shared" si="1"/>
        <v>151.8</v>
      </c>
      <c r="I14" s="25" t="s">
        <v>36</v>
      </c>
      <c r="J14" s="37">
        <f>SUMIFS(E4:E29,C4:C29,"VENDA")</f>
        <v>0</v>
      </c>
      <c r="K14" s="36"/>
    </row>
    <row r="15">
      <c r="B15" s="112">
        <v>45505.0</v>
      </c>
      <c r="C15" s="113" t="s">
        <v>73</v>
      </c>
      <c r="D15" s="113">
        <v>2.0</v>
      </c>
      <c r="E15" s="124">
        <v>51.56</v>
      </c>
      <c r="F15" s="124">
        <v>0.0</v>
      </c>
      <c r="G15" s="125">
        <f t="shared" si="1"/>
        <v>103.12</v>
      </c>
      <c r="I15" s="7" t="s">
        <v>37</v>
      </c>
      <c r="J15" s="37">
        <f>SUM(F4:F29)</f>
        <v>0</v>
      </c>
      <c r="K15" s="36"/>
    </row>
    <row r="16">
      <c r="B16" s="116">
        <v>45595.0</v>
      </c>
      <c r="C16" s="113" t="s">
        <v>73</v>
      </c>
      <c r="D16" s="113">
        <v>12.0</v>
      </c>
      <c r="E16" s="124">
        <v>53.78</v>
      </c>
      <c r="F16" s="124">
        <v>0.0</v>
      </c>
      <c r="G16" s="125">
        <f t="shared" si="1"/>
        <v>645.36</v>
      </c>
      <c r="I16" s="25" t="s">
        <v>10</v>
      </c>
      <c r="J16" s="37">
        <f>IF(J10&lt;&gt;0,((J13+J15)/J10),"")</f>
        <v>42.02738095</v>
      </c>
      <c r="K16" s="36"/>
    </row>
    <row r="17">
      <c r="B17" s="112">
        <v>45628.0</v>
      </c>
      <c r="C17" s="113" t="s">
        <v>73</v>
      </c>
      <c r="D17" s="113">
        <v>5.0</v>
      </c>
      <c r="E17" s="124">
        <v>53.9</v>
      </c>
      <c r="F17" s="124">
        <v>0.0</v>
      </c>
      <c r="G17" s="125">
        <f t="shared" si="1"/>
        <v>269.5</v>
      </c>
      <c r="K17" s="36"/>
    </row>
    <row r="18">
      <c r="B18" s="112">
        <v>45667.0</v>
      </c>
      <c r="C18" s="113" t="s">
        <v>73</v>
      </c>
      <c r="D18" s="113">
        <v>4.0</v>
      </c>
      <c r="E18" s="124">
        <v>53.8</v>
      </c>
      <c r="F18" s="124">
        <v>0.0</v>
      </c>
      <c r="G18" s="125">
        <f t="shared" si="1"/>
        <v>215.2</v>
      </c>
      <c r="K18" s="36"/>
    </row>
    <row r="19">
      <c r="B19" s="112">
        <v>45758.0</v>
      </c>
      <c r="C19" s="113" t="s">
        <v>73</v>
      </c>
      <c r="D19" s="113">
        <v>5.0</v>
      </c>
      <c r="E19" s="124">
        <v>45.18</v>
      </c>
      <c r="F19" s="124">
        <v>0.0</v>
      </c>
      <c r="G19" s="125">
        <f t="shared" si="1"/>
        <v>225.9</v>
      </c>
      <c r="K19" s="36"/>
    </row>
    <row r="20">
      <c r="B20" s="112">
        <v>45848.0</v>
      </c>
      <c r="C20" s="113" t="s">
        <v>73</v>
      </c>
      <c r="D20" s="113">
        <v>8.0</v>
      </c>
      <c r="E20" s="124">
        <v>39.83</v>
      </c>
      <c r="F20" s="124">
        <v>0.0</v>
      </c>
      <c r="G20" s="125">
        <f t="shared" si="1"/>
        <v>318.64</v>
      </c>
      <c r="K20" s="36"/>
    </row>
    <row r="21">
      <c r="B21" s="128">
        <v>45922.0</v>
      </c>
      <c r="C21" s="113" t="s">
        <v>73</v>
      </c>
      <c r="D21" s="127">
        <v>7.0</v>
      </c>
      <c r="E21" s="124">
        <v>36.67</v>
      </c>
      <c r="F21" s="124">
        <v>0.0</v>
      </c>
      <c r="G21" s="125">
        <f t="shared" si="1"/>
        <v>256.69</v>
      </c>
      <c r="K21" s="36"/>
    </row>
    <row r="22">
      <c r="B22" s="128">
        <v>45939.0</v>
      </c>
      <c r="C22" s="113" t="s">
        <v>73</v>
      </c>
      <c r="D22" s="113">
        <v>12.0</v>
      </c>
      <c r="E22" s="124">
        <v>36.95</v>
      </c>
      <c r="F22" s="124">
        <v>0.0</v>
      </c>
      <c r="G22" s="125">
        <f t="shared" si="1"/>
        <v>443.4</v>
      </c>
      <c r="K22" s="36"/>
    </row>
    <row r="23">
      <c r="B23" s="112">
        <v>46000.0</v>
      </c>
      <c r="C23" s="113" t="s">
        <v>73</v>
      </c>
      <c r="D23" s="113">
        <v>5.0</v>
      </c>
      <c r="E23" s="124">
        <v>47.38</v>
      </c>
      <c r="F23" s="124">
        <v>0.0</v>
      </c>
      <c r="G23" s="125">
        <f t="shared" si="1"/>
        <v>236.9</v>
      </c>
      <c r="K23" s="36"/>
    </row>
    <row r="24">
      <c r="B24" s="129">
        <v>46051.0</v>
      </c>
      <c r="C24" s="113" t="s">
        <v>73</v>
      </c>
      <c r="D24" s="126">
        <v>5.0</v>
      </c>
      <c r="E24" s="124">
        <v>52.33</v>
      </c>
      <c r="F24" s="124">
        <v>0.0</v>
      </c>
      <c r="G24" s="125">
        <f t="shared" si="1"/>
        <v>261.65</v>
      </c>
      <c r="K24" s="36"/>
    </row>
    <row r="25">
      <c r="B25" s="129">
        <v>46087.0</v>
      </c>
      <c r="C25" s="113" t="s">
        <v>73</v>
      </c>
      <c r="D25" s="126">
        <v>7.0</v>
      </c>
      <c r="E25" s="124">
        <v>46.63</v>
      </c>
      <c r="F25" s="124">
        <v>0.0</v>
      </c>
      <c r="G25" s="125">
        <f t="shared" si="1"/>
        <v>326.41</v>
      </c>
      <c r="K25" s="36"/>
    </row>
    <row r="26">
      <c r="B26" s="129">
        <v>46205.0</v>
      </c>
      <c r="C26" s="113" t="s">
        <v>73</v>
      </c>
      <c r="D26" s="126">
        <v>7.0</v>
      </c>
      <c r="E26" s="124">
        <v>46.27</v>
      </c>
      <c r="F26" s="124">
        <v>0.0</v>
      </c>
      <c r="G26" s="125">
        <f t="shared" si="1"/>
        <v>323.89</v>
      </c>
      <c r="K26" s="36"/>
    </row>
    <row r="27">
      <c r="B27" s="129"/>
      <c r="C27" s="113"/>
      <c r="D27" s="126"/>
      <c r="E27" s="124"/>
      <c r="F27" s="124"/>
      <c r="G27" s="125"/>
      <c r="K27" s="36"/>
    </row>
    <row r="28">
      <c r="B28" s="129"/>
      <c r="C28" s="113"/>
      <c r="D28" s="126"/>
      <c r="E28" s="124"/>
      <c r="F28" s="124"/>
      <c r="G28" s="125"/>
      <c r="K28" s="36"/>
    </row>
    <row r="29">
      <c r="B29" s="128"/>
      <c r="C29" s="113"/>
      <c r="D29" s="127"/>
      <c r="E29" s="124"/>
      <c r="F29" s="124"/>
      <c r="G29" s="125">
        <f>E29*D29</f>
        <v>0</v>
      </c>
      <c r="H29" s="40"/>
      <c r="I29" s="40"/>
      <c r="J29" s="40"/>
      <c r="K29" s="41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87</v>
      </c>
      <c r="D2" s="3" t="s">
        <v>24</v>
      </c>
      <c r="E2" s="5"/>
      <c r="F2" s="21" t="str">
        <f>IFERROR(__xludf.DUMMYFUNCTION("IF(C2="""","""",GOOGLEFINANCE(C2,""Name""))"),"Transmissora Alianca de Enrga Eltrca S/A")</f>
        <v>Transmissora Alianca de Enrga Eltrca S/A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112">
        <v>44628.0</v>
      </c>
      <c r="C4" s="113" t="s">
        <v>73</v>
      </c>
      <c r="D4" s="113">
        <v>9.0</v>
      </c>
      <c r="E4" s="124">
        <v>13.36</v>
      </c>
      <c r="F4" s="124">
        <v>0.0</v>
      </c>
      <c r="G4" s="125">
        <f t="shared" ref="G4:G26" si="1">E4*D4</f>
        <v>120.24</v>
      </c>
      <c r="H4" s="32" t="str">
        <f>IFERROR(__xludf.DUMMYFUNCTION("IF(C2="""","""",SPARKLINE(GOOGLEFINANCE(C2,""price"",TODAY()-K4,TODAY())))"),"")</f>
        <v/>
      </c>
      <c r="K4" s="33">
        <v>30.0</v>
      </c>
    </row>
    <row r="5">
      <c r="B5" s="112">
        <v>44743.0</v>
      </c>
      <c r="C5" s="113" t="s">
        <v>73</v>
      </c>
      <c r="D5" s="113">
        <v>14.0</v>
      </c>
      <c r="E5" s="124">
        <v>13.19</v>
      </c>
      <c r="F5" s="124">
        <v>0.0</v>
      </c>
      <c r="G5" s="125">
        <f t="shared" si="1"/>
        <v>184.66</v>
      </c>
      <c r="K5" s="34"/>
    </row>
    <row r="6">
      <c r="B6" s="112">
        <v>44841.0</v>
      </c>
      <c r="C6" s="113" t="s">
        <v>73</v>
      </c>
      <c r="D6" s="113">
        <v>9.0</v>
      </c>
      <c r="E6" s="124">
        <v>13.26</v>
      </c>
      <c r="F6" s="124">
        <v>0.0</v>
      </c>
      <c r="G6" s="125">
        <f t="shared" si="1"/>
        <v>119.34</v>
      </c>
      <c r="H6" s="15"/>
      <c r="I6" s="15"/>
      <c r="J6" s="15"/>
      <c r="K6" s="34"/>
    </row>
    <row r="7">
      <c r="B7" s="112">
        <v>44935.0</v>
      </c>
      <c r="C7" s="113" t="s">
        <v>73</v>
      </c>
      <c r="D7" s="113">
        <v>8.0</v>
      </c>
      <c r="E7" s="124">
        <v>11.98</v>
      </c>
      <c r="F7" s="124">
        <v>0.0</v>
      </c>
      <c r="G7" s="125">
        <f t="shared" si="1"/>
        <v>95.84</v>
      </c>
      <c r="K7" s="35"/>
    </row>
    <row r="8">
      <c r="B8" s="112">
        <v>44999.0</v>
      </c>
      <c r="C8" s="113" t="s">
        <v>73</v>
      </c>
      <c r="D8" s="113">
        <v>25.0</v>
      </c>
      <c r="E8" s="124">
        <v>12.23</v>
      </c>
      <c r="F8" s="124">
        <v>0.0</v>
      </c>
      <c r="G8" s="124">
        <f t="shared" si="1"/>
        <v>305.75</v>
      </c>
      <c r="K8" s="36"/>
    </row>
    <row r="9">
      <c r="B9" s="116">
        <v>45246.0</v>
      </c>
      <c r="C9" s="113" t="s">
        <v>73</v>
      </c>
      <c r="D9" s="113">
        <v>16.0</v>
      </c>
      <c r="E9" s="124">
        <v>12.08</v>
      </c>
      <c r="F9" s="124">
        <v>0.0</v>
      </c>
      <c r="G9" s="124">
        <f t="shared" si="1"/>
        <v>193.28</v>
      </c>
      <c r="K9" s="36"/>
    </row>
    <row r="10">
      <c r="B10" s="112">
        <v>45300.0</v>
      </c>
      <c r="C10" s="113" t="s">
        <v>73</v>
      </c>
      <c r="D10" s="113">
        <v>10.0</v>
      </c>
      <c r="E10" s="124">
        <v>12.38</v>
      </c>
      <c r="F10" s="124">
        <v>0.0</v>
      </c>
      <c r="G10" s="124">
        <f t="shared" si="1"/>
        <v>123.8</v>
      </c>
      <c r="I10" s="25" t="s">
        <v>32</v>
      </c>
      <c r="J10" s="32">
        <f>SUMIFS(D4:D30,C4:C30,"COMPRA")</f>
        <v>406</v>
      </c>
      <c r="K10" s="36"/>
    </row>
    <row r="11">
      <c r="B11" s="112">
        <v>45341.0</v>
      </c>
      <c r="C11" s="113" t="s">
        <v>73</v>
      </c>
      <c r="D11" s="113">
        <v>20.0</v>
      </c>
      <c r="E11" s="124">
        <v>11.72</v>
      </c>
      <c r="F11" s="124">
        <v>0.0</v>
      </c>
      <c r="G11" s="124">
        <f t="shared" si="1"/>
        <v>234.4</v>
      </c>
      <c r="I11" s="25" t="s">
        <v>33</v>
      </c>
      <c r="J11" s="32">
        <f>SUMIFS(D4:D30,C4:C30,"VENDA")</f>
        <v>0</v>
      </c>
      <c r="K11" s="36"/>
    </row>
    <row r="12">
      <c r="B12" s="112">
        <v>45426.0</v>
      </c>
      <c r="C12" s="113" t="s">
        <v>73</v>
      </c>
      <c r="D12" s="113">
        <v>8.0</v>
      </c>
      <c r="E12" s="124">
        <v>11.55</v>
      </c>
      <c r="F12" s="124">
        <v>0.0</v>
      </c>
      <c r="G12" s="124">
        <f t="shared" si="1"/>
        <v>92.4</v>
      </c>
      <c r="I12" s="25" t="s">
        <v>34</v>
      </c>
      <c r="J12" s="32">
        <f>J10-J11</f>
        <v>406</v>
      </c>
      <c r="K12" s="36"/>
    </row>
    <row r="13">
      <c r="B13" s="112">
        <v>45453.0</v>
      </c>
      <c r="C13" s="113" t="s">
        <v>73</v>
      </c>
      <c r="D13" s="113">
        <v>14.0</v>
      </c>
      <c r="E13" s="124">
        <v>11.16</v>
      </c>
      <c r="F13" s="124">
        <v>0.0</v>
      </c>
      <c r="G13" s="124">
        <f t="shared" si="1"/>
        <v>156.24</v>
      </c>
      <c r="I13" s="25" t="s">
        <v>35</v>
      </c>
      <c r="J13" s="37">
        <f>SUMIFS(G4:G30,C4:C30,"COMPRA")</f>
        <v>4955.09</v>
      </c>
      <c r="K13" s="36"/>
    </row>
    <row r="14">
      <c r="B14" s="112">
        <v>45505.0</v>
      </c>
      <c r="C14" s="113" t="s">
        <v>73</v>
      </c>
      <c r="D14" s="113">
        <v>11.0</v>
      </c>
      <c r="E14" s="124">
        <v>11.32</v>
      </c>
      <c r="F14" s="124">
        <v>0.0</v>
      </c>
      <c r="G14" s="124">
        <f t="shared" si="1"/>
        <v>124.52</v>
      </c>
      <c r="I14" s="25" t="s">
        <v>36</v>
      </c>
      <c r="J14" s="37">
        <f>SUMIFS(E4:E30,C4:C30,"VENDA")</f>
        <v>0</v>
      </c>
      <c r="K14" s="36"/>
    </row>
    <row r="15">
      <c r="B15" s="112">
        <v>45551.0</v>
      </c>
      <c r="C15" s="113" t="s">
        <v>73</v>
      </c>
      <c r="D15" s="113">
        <v>13.0</v>
      </c>
      <c r="E15" s="124">
        <v>11.72</v>
      </c>
      <c r="F15" s="124">
        <v>0.0</v>
      </c>
      <c r="G15" s="124">
        <f t="shared" si="1"/>
        <v>152.36</v>
      </c>
      <c r="I15" s="7" t="s">
        <v>37</v>
      </c>
      <c r="J15" s="37">
        <f>SUM(F4:F30)</f>
        <v>0</v>
      </c>
      <c r="K15" s="36"/>
    </row>
    <row r="16">
      <c r="B16" s="116">
        <v>45595.0</v>
      </c>
      <c r="C16" s="113" t="s">
        <v>73</v>
      </c>
      <c r="D16" s="113">
        <v>53.0</v>
      </c>
      <c r="E16" s="124">
        <v>11.48</v>
      </c>
      <c r="F16" s="124">
        <v>0.0</v>
      </c>
      <c r="G16" s="124">
        <f t="shared" si="1"/>
        <v>608.44</v>
      </c>
      <c r="I16" s="25" t="s">
        <v>10</v>
      </c>
      <c r="J16" s="37">
        <f>IF(J10&lt;&gt;0,((J13+J15)/J10),"")</f>
        <v>12.20465517</v>
      </c>
      <c r="K16" s="36"/>
    </row>
    <row r="17">
      <c r="B17" s="112">
        <v>45628.0</v>
      </c>
      <c r="C17" s="113" t="s">
        <v>73</v>
      </c>
      <c r="D17" s="113">
        <v>14.0</v>
      </c>
      <c r="E17" s="124">
        <v>11.28</v>
      </c>
      <c r="F17" s="124">
        <v>0.0</v>
      </c>
      <c r="G17" s="124">
        <f t="shared" si="1"/>
        <v>157.92</v>
      </c>
      <c r="K17" s="36"/>
    </row>
    <row r="18">
      <c r="B18" s="112">
        <v>45667.0</v>
      </c>
      <c r="C18" s="113" t="s">
        <v>73</v>
      </c>
      <c r="D18" s="113">
        <v>19.0</v>
      </c>
      <c r="E18" s="124">
        <v>10.89</v>
      </c>
      <c r="F18" s="124">
        <v>0.0</v>
      </c>
      <c r="G18" s="124">
        <f t="shared" si="1"/>
        <v>206.91</v>
      </c>
      <c r="K18" s="36"/>
    </row>
    <row r="19">
      <c r="B19" s="112">
        <v>45758.0</v>
      </c>
      <c r="C19" s="113" t="s">
        <v>73</v>
      </c>
      <c r="D19" s="113">
        <v>12.0</v>
      </c>
      <c r="E19" s="124">
        <v>11.32</v>
      </c>
      <c r="F19" s="124">
        <v>0.0</v>
      </c>
      <c r="G19" s="124">
        <f t="shared" si="1"/>
        <v>135.84</v>
      </c>
      <c r="K19" s="36"/>
    </row>
    <row r="20">
      <c r="B20" s="112">
        <v>45848.0</v>
      </c>
      <c r="C20" s="113" t="s">
        <v>73</v>
      </c>
      <c r="D20" s="113">
        <v>24.0</v>
      </c>
      <c r="E20" s="124">
        <v>11.32</v>
      </c>
      <c r="F20" s="124">
        <v>0.0</v>
      </c>
      <c r="G20" s="124">
        <f t="shared" si="1"/>
        <v>271.68</v>
      </c>
      <c r="K20" s="36"/>
    </row>
    <row r="21">
      <c r="B21" s="128">
        <v>45922.0</v>
      </c>
      <c r="C21" s="113" t="s">
        <v>73</v>
      </c>
      <c r="D21" s="127">
        <v>22.0</v>
      </c>
      <c r="E21" s="124">
        <v>11.83</v>
      </c>
      <c r="F21" s="124">
        <v>0.0</v>
      </c>
      <c r="G21" s="124">
        <f t="shared" si="1"/>
        <v>260.26</v>
      </c>
      <c r="K21" s="36"/>
    </row>
    <row r="22">
      <c r="B22" s="112">
        <v>45939.0</v>
      </c>
      <c r="C22" s="113" t="s">
        <v>73</v>
      </c>
      <c r="D22" s="113">
        <v>19.0</v>
      </c>
      <c r="E22" s="124">
        <v>11.97</v>
      </c>
      <c r="F22" s="124">
        <v>0.0</v>
      </c>
      <c r="G22" s="124">
        <f t="shared" si="1"/>
        <v>227.43</v>
      </c>
      <c r="K22" s="36"/>
    </row>
    <row r="23">
      <c r="B23" s="112">
        <v>46000.0</v>
      </c>
      <c r="C23" s="113" t="s">
        <v>73</v>
      </c>
      <c r="D23" s="113">
        <v>17.0</v>
      </c>
      <c r="E23" s="124">
        <v>13.65</v>
      </c>
      <c r="F23" s="124">
        <v>0.0</v>
      </c>
      <c r="G23" s="124">
        <f t="shared" si="1"/>
        <v>232.05</v>
      </c>
      <c r="K23" s="36"/>
    </row>
    <row r="24">
      <c r="B24" s="112">
        <v>46051.0</v>
      </c>
      <c r="C24" s="113" t="s">
        <v>73</v>
      </c>
      <c r="D24" s="113">
        <v>19.0</v>
      </c>
      <c r="E24" s="124">
        <v>14.03</v>
      </c>
      <c r="F24" s="124">
        <v>0.0</v>
      </c>
      <c r="G24" s="124">
        <f t="shared" si="1"/>
        <v>266.57</v>
      </c>
      <c r="K24" s="36"/>
    </row>
    <row r="25">
      <c r="B25" s="112">
        <v>46087.0</v>
      </c>
      <c r="C25" s="113" t="s">
        <v>73</v>
      </c>
      <c r="D25" s="113">
        <v>24.0</v>
      </c>
      <c r="E25" s="124">
        <v>14.01</v>
      </c>
      <c r="F25" s="124">
        <v>0.0</v>
      </c>
      <c r="G25" s="124">
        <f t="shared" si="1"/>
        <v>336.24</v>
      </c>
      <c r="K25" s="36"/>
    </row>
    <row r="26">
      <c r="B26" s="112">
        <v>46205.0</v>
      </c>
      <c r="C26" s="113" t="s">
        <v>73</v>
      </c>
      <c r="D26" s="113">
        <v>26.0</v>
      </c>
      <c r="E26" s="124">
        <v>13.42</v>
      </c>
      <c r="F26" s="124">
        <v>0.0</v>
      </c>
      <c r="G26" s="124">
        <f t="shared" si="1"/>
        <v>348.92</v>
      </c>
      <c r="K26" s="36"/>
    </row>
    <row r="27">
      <c r="B27" s="112"/>
      <c r="C27" s="113"/>
      <c r="D27" s="113"/>
      <c r="E27" s="124"/>
      <c r="F27" s="124"/>
      <c r="G27" s="124"/>
      <c r="K27" s="36"/>
    </row>
    <row r="28">
      <c r="B28" s="112"/>
      <c r="C28" s="113"/>
      <c r="D28" s="113"/>
      <c r="E28" s="124"/>
      <c r="F28" s="124"/>
      <c r="G28" s="124"/>
      <c r="K28" s="36"/>
    </row>
    <row r="29">
      <c r="B29" s="112"/>
      <c r="C29" s="113"/>
      <c r="D29" s="113"/>
      <c r="E29" s="124"/>
      <c r="F29" s="124"/>
      <c r="G29" s="124"/>
      <c r="K29" s="36"/>
    </row>
    <row r="30">
      <c r="B30" s="128"/>
      <c r="C30" s="113"/>
      <c r="D30" s="127"/>
      <c r="E30" s="124"/>
      <c r="F30" s="124"/>
      <c r="G30" s="124"/>
      <c r="H30" s="40"/>
      <c r="I30" s="40"/>
      <c r="J30" s="40"/>
      <c r="K30" s="41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88</v>
      </c>
      <c r="D2" s="3" t="s">
        <v>24</v>
      </c>
      <c r="E2" s="5"/>
      <c r="F2" s="21" t="str">
        <f>IFERROR(__xludf.DUMMYFUNCTION("IF(C2="""","""",GOOGLEFINANCE(C2,""Name""))"),"Porto Seguro SA")</f>
        <v>Porto Seguro SA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112">
        <v>44628.0</v>
      </c>
      <c r="C4" s="113" t="s">
        <v>73</v>
      </c>
      <c r="D4" s="113">
        <v>6.0</v>
      </c>
      <c r="E4" s="124">
        <v>19.68</v>
      </c>
      <c r="F4" s="124">
        <v>0.0</v>
      </c>
      <c r="G4" s="125">
        <f t="shared" ref="G4:G28" si="1">E4*D4</f>
        <v>118.08</v>
      </c>
      <c r="H4" s="32" t="str">
        <f>IFERROR(__xludf.DUMMYFUNCTION("IF(C2="""","""",SPARKLINE(GOOGLEFINANCE(C2,""price"",TODAY()-K4,TODAY())))"),"")</f>
        <v/>
      </c>
      <c r="K4" s="33">
        <v>30.0</v>
      </c>
    </row>
    <row r="5">
      <c r="B5" s="112">
        <v>44655.0</v>
      </c>
      <c r="C5" s="113" t="s">
        <v>73</v>
      </c>
      <c r="D5" s="113">
        <v>4.0</v>
      </c>
      <c r="E5" s="124">
        <v>20.86</v>
      </c>
      <c r="F5" s="124">
        <v>0.0</v>
      </c>
      <c r="G5" s="125">
        <f t="shared" si="1"/>
        <v>83.44</v>
      </c>
      <c r="K5" s="34"/>
    </row>
    <row r="6">
      <c r="B6" s="112">
        <v>44743.0</v>
      </c>
      <c r="C6" s="113" t="s">
        <v>73</v>
      </c>
      <c r="D6" s="113">
        <v>5.0</v>
      </c>
      <c r="E6" s="124">
        <v>18.04</v>
      </c>
      <c r="F6" s="124">
        <v>0.0</v>
      </c>
      <c r="G6" s="125">
        <f t="shared" si="1"/>
        <v>90.2</v>
      </c>
      <c r="H6" s="15"/>
      <c r="I6" s="15"/>
      <c r="J6" s="15"/>
      <c r="K6" s="34"/>
    </row>
    <row r="7">
      <c r="B7" s="112">
        <v>44841.0</v>
      </c>
      <c r="C7" s="113" t="s">
        <v>73</v>
      </c>
      <c r="D7" s="113">
        <v>5.0</v>
      </c>
      <c r="E7" s="124">
        <v>21.27</v>
      </c>
      <c r="F7" s="124">
        <v>0.0</v>
      </c>
      <c r="G7" s="125">
        <f t="shared" si="1"/>
        <v>106.35</v>
      </c>
      <c r="K7" s="35"/>
    </row>
    <row r="8">
      <c r="B8" s="112">
        <v>44999.0</v>
      </c>
      <c r="C8" s="113" t="s">
        <v>73</v>
      </c>
      <c r="D8" s="113">
        <v>12.0</v>
      </c>
      <c r="E8" s="124">
        <v>24.89</v>
      </c>
      <c r="F8" s="124">
        <v>0.0</v>
      </c>
      <c r="G8" s="125">
        <f t="shared" si="1"/>
        <v>298.68</v>
      </c>
      <c r="K8" s="36"/>
    </row>
    <row r="9">
      <c r="B9" s="116">
        <v>45246.0</v>
      </c>
      <c r="C9" s="113" t="s">
        <v>73</v>
      </c>
      <c r="D9" s="113">
        <v>7.0</v>
      </c>
      <c r="E9" s="124">
        <v>28.22</v>
      </c>
      <c r="F9" s="124">
        <v>0.0</v>
      </c>
      <c r="G9" s="125">
        <f t="shared" si="1"/>
        <v>197.54</v>
      </c>
      <c r="K9" s="36"/>
    </row>
    <row r="10">
      <c r="B10" s="112">
        <v>45300.0</v>
      </c>
      <c r="C10" s="113" t="s">
        <v>73</v>
      </c>
      <c r="D10" s="113">
        <v>5.0</v>
      </c>
      <c r="E10" s="124">
        <v>28.54</v>
      </c>
      <c r="F10" s="124">
        <v>0.0</v>
      </c>
      <c r="G10" s="125">
        <f t="shared" si="1"/>
        <v>142.7</v>
      </c>
      <c r="I10" s="25" t="s">
        <v>32</v>
      </c>
      <c r="J10" s="32">
        <f>SUMIFS(D4:D28,C4:C28,"COMPRA")</f>
        <v>120</v>
      </c>
      <c r="K10" s="36"/>
    </row>
    <row r="11">
      <c r="B11" s="112">
        <v>45341.0</v>
      </c>
      <c r="C11" s="113" t="s">
        <v>73</v>
      </c>
      <c r="D11" s="113">
        <v>14.0</v>
      </c>
      <c r="E11" s="124">
        <v>26.1</v>
      </c>
      <c r="F11" s="124">
        <v>0.0</v>
      </c>
      <c r="G11" s="125">
        <f t="shared" si="1"/>
        <v>365.4</v>
      </c>
      <c r="I11" s="25" t="s">
        <v>33</v>
      </c>
      <c r="J11" s="32">
        <f>SUMIFS(D4:D28,C4:C28,"VENDA")</f>
        <v>0</v>
      </c>
      <c r="K11" s="36"/>
    </row>
    <row r="12">
      <c r="B12" s="112">
        <v>45453.0</v>
      </c>
      <c r="C12" s="113" t="s">
        <v>73</v>
      </c>
      <c r="D12" s="113">
        <v>5.0</v>
      </c>
      <c r="E12" s="124">
        <v>29.74</v>
      </c>
      <c r="F12" s="124">
        <v>0.0</v>
      </c>
      <c r="G12" s="125">
        <f t="shared" si="1"/>
        <v>148.7</v>
      </c>
      <c r="I12" s="25" t="s">
        <v>34</v>
      </c>
      <c r="J12" s="32">
        <f>J10-J11</f>
        <v>120</v>
      </c>
      <c r="K12" s="36"/>
    </row>
    <row r="13">
      <c r="B13" s="112">
        <v>45505.0</v>
      </c>
      <c r="C13" s="113" t="s">
        <v>73</v>
      </c>
      <c r="D13" s="113">
        <v>3.0</v>
      </c>
      <c r="E13" s="124">
        <v>30.75</v>
      </c>
      <c r="F13" s="124">
        <v>0.0</v>
      </c>
      <c r="G13" s="125">
        <f t="shared" si="1"/>
        <v>92.25</v>
      </c>
      <c r="I13" s="25" t="s">
        <v>35</v>
      </c>
      <c r="J13" s="37">
        <f>SUMIFS(G4:G28,C4:C28,"COMPRA")</f>
        <v>3979.35</v>
      </c>
      <c r="K13" s="36"/>
    </row>
    <row r="14">
      <c r="B14" s="116">
        <v>45595.0</v>
      </c>
      <c r="C14" s="113" t="s">
        <v>73</v>
      </c>
      <c r="D14" s="113">
        <v>16.0</v>
      </c>
      <c r="E14" s="124">
        <v>38.75</v>
      </c>
      <c r="F14" s="124">
        <v>0.0</v>
      </c>
      <c r="G14" s="125">
        <f t="shared" si="1"/>
        <v>620</v>
      </c>
      <c r="I14" s="25" t="s">
        <v>36</v>
      </c>
      <c r="J14" s="37">
        <f>SUMIFS(E4:E28,C4:C28,"VENDA")</f>
        <v>0</v>
      </c>
      <c r="K14" s="36"/>
    </row>
    <row r="15">
      <c r="B15" s="112">
        <v>45628.0</v>
      </c>
      <c r="C15" s="113" t="s">
        <v>73</v>
      </c>
      <c r="D15" s="113">
        <v>4.0</v>
      </c>
      <c r="E15" s="124">
        <v>37.52</v>
      </c>
      <c r="F15" s="124">
        <v>0.0</v>
      </c>
      <c r="G15" s="125">
        <f t="shared" si="1"/>
        <v>150.08</v>
      </c>
      <c r="I15" s="7" t="s">
        <v>37</v>
      </c>
      <c r="J15" s="37">
        <f>SUM(F4:F28)</f>
        <v>0</v>
      </c>
      <c r="K15" s="36"/>
    </row>
    <row r="16">
      <c r="B16" s="112">
        <v>45667.0</v>
      </c>
      <c r="C16" s="113" t="s">
        <v>73</v>
      </c>
      <c r="D16" s="113">
        <v>6.0</v>
      </c>
      <c r="E16" s="124">
        <v>36.4</v>
      </c>
      <c r="F16" s="124">
        <v>0.0</v>
      </c>
      <c r="G16" s="125">
        <f t="shared" si="1"/>
        <v>218.4</v>
      </c>
      <c r="I16" s="25" t="s">
        <v>10</v>
      </c>
      <c r="J16" s="37">
        <f>IF(J10&lt;&gt;0,((J13+J15)/J10),"")</f>
        <v>33.16125</v>
      </c>
      <c r="K16" s="36"/>
    </row>
    <row r="17">
      <c r="B17" s="112">
        <v>45758.0</v>
      </c>
      <c r="C17" s="113" t="s">
        <v>73</v>
      </c>
      <c r="D17" s="113">
        <v>5.0</v>
      </c>
      <c r="E17" s="124">
        <v>39.18</v>
      </c>
      <c r="F17" s="124">
        <v>0.0</v>
      </c>
      <c r="G17" s="125">
        <f t="shared" si="1"/>
        <v>195.9</v>
      </c>
      <c r="K17" s="36"/>
    </row>
    <row r="18">
      <c r="B18" s="112">
        <v>46000.0</v>
      </c>
      <c r="C18" s="113" t="s">
        <v>73</v>
      </c>
      <c r="D18" s="113">
        <v>5.0</v>
      </c>
      <c r="E18" s="124">
        <v>48.64</v>
      </c>
      <c r="F18" s="124">
        <v>0.0</v>
      </c>
      <c r="G18" s="125">
        <f t="shared" si="1"/>
        <v>243.2</v>
      </c>
      <c r="K18" s="36"/>
    </row>
    <row r="19">
      <c r="B19" s="112">
        <v>46051.0</v>
      </c>
      <c r="C19" s="113" t="s">
        <v>73</v>
      </c>
      <c r="D19" s="113">
        <v>5.0</v>
      </c>
      <c r="E19" s="124">
        <v>49.44</v>
      </c>
      <c r="F19" s="124">
        <v>0.0</v>
      </c>
      <c r="G19" s="125">
        <f t="shared" si="1"/>
        <v>247.2</v>
      </c>
      <c r="K19" s="36"/>
    </row>
    <row r="20">
      <c r="B20" s="112">
        <v>46087.0</v>
      </c>
      <c r="C20" s="113" t="s">
        <v>73</v>
      </c>
      <c r="D20" s="113">
        <v>7.0</v>
      </c>
      <c r="E20" s="124">
        <v>48.81</v>
      </c>
      <c r="F20" s="124">
        <v>0.0</v>
      </c>
      <c r="G20" s="125">
        <f t="shared" si="1"/>
        <v>341.67</v>
      </c>
      <c r="K20" s="36"/>
    </row>
    <row r="21">
      <c r="B21" s="112">
        <v>46205.0</v>
      </c>
      <c r="C21" s="113" t="s">
        <v>73</v>
      </c>
      <c r="D21" s="113">
        <v>6.0</v>
      </c>
      <c r="E21" s="124">
        <v>53.26</v>
      </c>
      <c r="F21" s="124">
        <v>0.0</v>
      </c>
      <c r="G21" s="125">
        <f t="shared" si="1"/>
        <v>319.56</v>
      </c>
      <c r="K21" s="36"/>
    </row>
    <row r="22">
      <c r="B22" s="30"/>
      <c r="C22" s="31"/>
      <c r="D22" s="31"/>
      <c r="E22" s="31"/>
      <c r="F22" s="31"/>
      <c r="G22" s="125">
        <f t="shared" si="1"/>
        <v>0</v>
      </c>
      <c r="K22" s="36"/>
    </row>
    <row r="23">
      <c r="B23" s="30"/>
      <c r="C23" s="31"/>
      <c r="D23" s="31"/>
      <c r="E23" s="31"/>
      <c r="F23" s="31"/>
      <c r="G23" s="125">
        <f t="shared" si="1"/>
        <v>0</v>
      </c>
      <c r="K23" s="36"/>
    </row>
    <row r="24">
      <c r="B24" s="30"/>
      <c r="C24" s="31"/>
      <c r="D24" s="31"/>
      <c r="E24" s="31"/>
      <c r="F24" s="31"/>
      <c r="G24" s="125">
        <f t="shared" si="1"/>
        <v>0</v>
      </c>
      <c r="K24" s="36"/>
    </row>
    <row r="25">
      <c r="B25" s="30"/>
      <c r="C25" s="31"/>
      <c r="D25" s="31"/>
      <c r="E25" s="31"/>
      <c r="F25" s="31"/>
      <c r="G25" s="125">
        <f t="shared" si="1"/>
        <v>0</v>
      </c>
      <c r="K25" s="36"/>
    </row>
    <row r="26">
      <c r="B26" s="30"/>
      <c r="C26" s="31"/>
      <c r="D26" s="31"/>
      <c r="E26" s="31"/>
      <c r="F26" s="31"/>
      <c r="G26" s="125">
        <f t="shared" si="1"/>
        <v>0</v>
      </c>
      <c r="K26" s="36"/>
    </row>
    <row r="27">
      <c r="B27" s="30"/>
      <c r="C27" s="31"/>
      <c r="D27" s="31"/>
      <c r="E27" s="31"/>
      <c r="F27" s="31"/>
      <c r="G27" s="125">
        <f t="shared" si="1"/>
        <v>0</v>
      </c>
      <c r="K27" s="36"/>
    </row>
    <row r="28">
      <c r="B28" s="38"/>
      <c r="C28" s="39"/>
      <c r="D28" s="39"/>
      <c r="E28" s="39"/>
      <c r="F28" s="39"/>
      <c r="G28" s="125">
        <f t="shared" si="1"/>
        <v>0</v>
      </c>
      <c r="H28" s="40"/>
      <c r="I28" s="40"/>
      <c r="J28" s="40"/>
      <c r="K28" s="41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91</v>
      </c>
      <c r="D2" s="3" t="s">
        <v>24</v>
      </c>
      <c r="E2" s="5"/>
      <c r="F2" s="21" t="str">
        <f>IFERROR(__xludf.DUMMYFUNCTION("IF(C2="""","""",GOOGLEFINANCE(C2,""Name""))"),"Hypera SA")</f>
        <v>Hypera SA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112">
        <v>44628.0</v>
      </c>
      <c r="C4" s="113" t="s">
        <v>73</v>
      </c>
      <c r="D4" s="113">
        <v>3.0</v>
      </c>
      <c r="E4" s="124">
        <v>32.6</v>
      </c>
      <c r="F4" s="124">
        <v>0.0</v>
      </c>
      <c r="G4" s="125">
        <f t="shared" ref="G4:G27" si="1">E4*D4</f>
        <v>97.8</v>
      </c>
      <c r="H4" s="32" t="str">
        <f>IFERROR(__xludf.DUMMYFUNCTION("IF(C2="""","""",SPARKLINE(GOOGLEFINANCE(C2,""price"",TODAY()-K4,TODAY())))"),"")</f>
        <v/>
      </c>
      <c r="K4" s="33">
        <v>30.0</v>
      </c>
    </row>
    <row r="5">
      <c r="B5" s="112">
        <v>44743.0</v>
      </c>
      <c r="C5" s="113" t="s">
        <v>73</v>
      </c>
      <c r="D5" s="113">
        <v>3.0</v>
      </c>
      <c r="E5" s="124">
        <v>37.53</v>
      </c>
      <c r="F5" s="124">
        <v>0.0</v>
      </c>
      <c r="G5" s="125">
        <f t="shared" si="1"/>
        <v>112.59</v>
      </c>
      <c r="K5" s="34"/>
    </row>
    <row r="6">
      <c r="B6" s="112">
        <v>44841.0</v>
      </c>
      <c r="C6" s="113" t="s">
        <v>73</v>
      </c>
      <c r="D6" s="113">
        <v>2.0</v>
      </c>
      <c r="E6" s="124">
        <v>46.32</v>
      </c>
      <c r="F6" s="124">
        <v>0.0</v>
      </c>
      <c r="G6" s="125">
        <f t="shared" si="1"/>
        <v>92.64</v>
      </c>
      <c r="H6" s="15"/>
      <c r="I6" s="15"/>
      <c r="J6" s="15"/>
      <c r="K6" s="34"/>
    </row>
    <row r="7">
      <c r="B7" s="112">
        <v>44935.0</v>
      </c>
      <c r="C7" s="113" t="s">
        <v>73</v>
      </c>
      <c r="D7" s="113">
        <v>2.0</v>
      </c>
      <c r="E7" s="124">
        <v>43.2</v>
      </c>
      <c r="F7" s="124">
        <v>0.0</v>
      </c>
      <c r="G7" s="125">
        <f t="shared" si="1"/>
        <v>86.4</v>
      </c>
      <c r="K7" s="35"/>
    </row>
    <row r="8">
      <c r="B8" s="112">
        <v>44999.0</v>
      </c>
      <c r="C8" s="113" t="s">
        <v>73</v>
      </c>
      <c r="D8" s="113">
        <v>8.0</v>
      </c>
      <c r="E8" s="124">
        <v>40.58</v>
      </c>
      <c r="F8" s="124">
        <v>0.0</v>
      </c>
      <c r="G8" s="125">
        <f t="shared" si="1"/>
        <v>324.64</v>
      </c>
      <c r="K8" s="36"/>
    </row>
    <row r="9">
      <c r="B9" s="116">
        <v>45246.0</v>
      </c>
      <c r="C9" s="113" t="s">
        <v>73</v>
      </c>
      <c r="D9" s="113">
        <v>5.0</v>
      </c>
      <c r="E9" s="124">
        <v>33.83</v>
      </c>
      <c r="F9" s="124">
        <v>0.0</v>
      </c>
      <c r="G9" s="125">
        <f t="shared" si="1"/>
        <v>169.15</v>
      </c>
      <c r="K9" s="36"/>
    </row>
    <row r="10">
      <c r="B10" s="116">
        <v>45246.0</v>
      </c>
      <c r="C10" s="113" t="s">
        <v>73</v>
      </c>
      <c r="D10" s="113">
        <v>7.0</v>
      </c>
      <c r="E10" s="124">
        <v>34.05</v>
      </c>
      <c r="F10" s="124">
        <v>0.0</v>
      </c>
      <c r="G10" s="125">
        <f t="shared" si="1"/>
        <v>238.35</v>
      </c>
      <c r="I10" s="25" t="s">
        <v>32</v>
      </c>
      <c r="J10" s="32">
        <f>SUMIFS(D4:D29,C4:C29,"COMPRA")</f>
        <v>211</v>
      </c>
      <c r="K10" s="36"/>
    </row>
    <row r="11">
      <c r="B11" s="112">
        <v>45341.0</v>
      </c>
      <c r="C11" s="113" t="s">
        <v>73</v>
      </c>
      <c r="D11" s="113">
        <v>7.0</v>
      </c>
      <c r="E11" s="124">
        <v>32.59</v>
      </c>
      <c r="F11" s="124">
        <v>0.0</v>
      </c>
      <c r="G11" s="125">
        <f t="shared" si="1"/>
        <v>228.13</v>
      </c>
      <c r="I11" s="25" t="s">
        <v>33</v>
      </c>
      <c r="J11" s="32">
        <f>SUMIFS(D4:D29,C4:C29,"VENDA")</f>
        <v>0</v>
      </c>
      <c r="K11" s="36"/>
    </row>
    <row r="12">
      <c r="B12" s="112">
        <v>45426.0</v>
      </c>
      <c r="C12" s="113" t="s">
        <v>73</v>
      </c>
      <c r="D12" s="113">
        <v>3.0</v>
      </c>
      <c r="E12" s="124">
        <v>30.39</v>
      </c>
      <c r="F12" s="124">
        <v>0.0</v>
      </c>
      <c r="G12" s="125">
        <f t="shared" si="1"/>
        <v>91.17</v>
      </c>
      <c r="I12" s="25" t="s">
        <v>34</v>
      </c>
      <c r="J12" s="32">
        <f>J10-J11</f>
        <v>211</v>
      </c>
      <c r="K12" s="36"/>
    </row>
    <row r="13">
      <c r="B13" s="112">
        <v>45453.0</v>
      </c>
      <c r="C13" s="113" t="s">
        <v>73</v>
      </c>
      <c r="D13" s="113">
        <v>6.0</v>
      </c>
      <c r="E13" s="124">
        <v>28.7</v>
      </c>
      <c r="F13" s="124">
        <v>0.0</v>
      </c>
      <c r="G13" s="125">
        <f t="shared" si="1"/>
        <v>172.2</v>
      </c>
      <c r="I13" s="25" t="s">
        <v>35</v>
      </c>
      <c r="J13" s="37">
        <f>SUMIFS(G4:G29,C4:C29,"COMPRA")</f>
        <v>5404.46</v>
      </c>
      <c r="K13" s="36"/>
    </row>
    <row r="14">
      <c r="B14" s="112">
        <v>45505.0</v>
      </c>
      <c r="C14" s="113" t="s">
        <v>73</v>
      </c>
      <c r="D14" s="113">
        <v>4.0</v>
      </c>
      <c r="E14" s="124">
        <v>28.47</v>
      </c>
      <c r="F14" s="124">
        <v>0.0</v>
      </c>
      <c r="G14" s="125">
        <f t="shared" si="1"/>
        <v>113.88</v>
      </c>
      <c r="I14" s="25" t="s">
        <v>36</v>
      </c>
      <c r="J14" s="37">
        <f>SUMIFS(E4:E29,C4:C29,"VENDA")</f>
        <v>0</v>
      </c>
      <c r="K14" s="36"/>
    </row>
    <row r="15">
      <c r="B15" s="112">
        <v>45505.0</v>
      </c>
      <c r="C15" s="113" t="s">
        <v>73</v>
      </c>
      <c r="D15" s="113">
        <v>8.0</v>
      </c>
      <c r="E15" s="124">
        <v>28.33</v>
      </c>
      <c r="F15" s="124">
        <v>0.0</v>
      </c>
      <c r="G15" s="125">
        <f t="shared" si="1"/>
        <v>226.64</v>
      </c>
      <c r="I15" s="7" t="s">
        <v>37</v>
      </c>
      <c r="J15" s="37">
        <f>SUM(F4:F29)</f>
        <v>0</v>
      </c>
      <c r="K15" s="36"/>
    </row>
    <row r="16">
      <c r="B16" s="112">
        <v>45551.0</v>
      </c>
      <c r="C16" s="113" t="s">
        <v>73</v>
      </c>
      <c r="D16" s="113">
        <v>6.0</v>
      </c>
      <c r="E16" s="124">
        <v>29.02</v>
      </c>
      <c r="F16" s="124">
        <v>0.0</v>
      </c>
      <c r="G16" s="125">
        <f t="shared" si="1"/>
        <v>174.12</v>
      </c>
      <c r="I16" s="25" t="s">
        <v>10</v>
      </c>
      <c r="J16" s="37">
        <f>IF(J10&lt;&gt;0,((J13+J15)/J10),"")</f>
        <v>25.6135545</v>
      </c>
      <c r="K16" s="36"/>
    </row>
    <row r="17">
      <c r="B17" s="116">
        <v>45595.0</v>
      </c>
      <c r="C17" s="113" t="s">
        <v>73</v>
      </c>
      <c r="D17" s="113">
        <v>26.0</v>
      </c>
      <c r="E17" s="124">
        <v>24.04</v>
      </c>
      <c r="F17" s="124">
        <v>0.0</v>
      </c>
      <c r="G17" s="125">
        <f t="shared" si="1"/>
        <v>625.04</v>
      </c>
      <c r="K17" s="36"/>
    </row>
    <row r="18">
      <c r="B18" s="112">
        <v>45628.0</v>
      </c>
      <c r="C18" s="113" t="s">
        <v>73</v>
      </c>
      <c r="D18" s="113">
        <v>8.0</v>
      </c>
      <c r="E18" s="124">
        <v>19.84</v>
      </c>
      <c r="F18" s="124">
        <v>0.0</v>
      </c>
      <c r="G18" s="125">
        <f t="shared" si="1"/>
        <v>158.72</v>
      </c>
      <c r="K18" s="36"/>
    </row>
    <row r="19">
      <c r="B19" s="112">
        <v>45667.0</v>
      </c>
      <c r="C19" s="113" t="s">
        <v>73</v>
      </c>
      <c r="D19" s="113">
        <v>11.0</v>
      </c>
      <c r="E19" s="124">
        <v>17.93</v>
      </c>
      <c r="F19" s="124">
        <v>0.0</v>
      </c>
      <c r="G19" s="125">
        <f t="shared" si="1"/>
        <v>197.23</v>
      </c>
      <c r="K19" s="36"/>
    </row>
    <row r="20">
      <c r="B20" s="112">
        <v>45758.0</v>
      </c>
      <c r="C20" s="113" t="s">
        <v>73</v>
      </c>
      <c r="D20" s="113">
        <v>7.0</v>
      </c>
      <c r="E20" s="124">
        <v>19.42</v>
      </c>
      <c r="F20" s="124">
        <v>0.0</v>
      </c>
      <c r="G20" s="125">
        <f t="shared" si="1"/>
        <v>135.94</v>
      </c>
      <c r="K20" s="36"/>
    </row>
    <row r="21">
      <c r="B21" s="128">
        <v>45848.0</v>
      </c>
      <c r="C21" s="113" t="s">
        <v>73</v>
      </c>
      <c r="D21" s="127">
        <v>10.0</v>
      </c>
      <c r="E21" s="124">
        <v>26.79</v>
      </c>
      <c r="F21" s="124">
        <v>0.0</v>
      </c>
      <c r="G21" s="125">
        <f t="shared" si="1"/>
        <v>267.9</v>
      </c>
      <c r="K21" s="36"/>
    </row>
    <row r="22">
      <c r="B22" s="112">
        <v>45922.0</v>
      </c>
      <c r="C22" s="113" t="s">
        <v>73</v>
      </c>
      <c r="D22" s="113">
        <v>12.0</v>
      </c>
      <c r="E22" s="124">
        <v>23.35</v>
      </c>
      <c r="F22" s="124">
        <v>0.0</v>
      </c>
      <c r="G22" s="125">
        <f t="shared" si="1"/>
        <v>280.2</v>
      </c>
      <c r="K22" s="36"/>
    </row>
    <row r="23">
      <c r="B23" s="112">
        <v>45939.0</v>
      </c>
      <c r="C23" s="113" t="s">
        <v>73</v>
      </c>
      <c r="D23" s="113">
        <v>22.0</v>
      </c>
      <c r="E23" s="124">
        <v>20.82</v>
      </c>
      <c r="F23" s="124">
        <v>0.0</v>
      </c>
      <c r="G23" s="125">
        <f t="shared" si="1"/>
        <v>458.04</v>
      </c>
      <c r="K23" s="36"/>
    </row>
    <row r="24">
      <c r="B24" s="128">
        <v>46000.0</v>
      </c>
      <c r="C24" s="113" t="s">
        <v>73</v>
      </c>
      <c r="D24" s="127">
        <v>9.0</v>
      </c>
      <c r="E24" s="124">
        <v>24.38</v>
      </c>
      <c r="F24" s="124">
        <v>0.0</v>
      </c>
      <c r="G24" s="125">
        <f t="shared" si="1"/>
        <v>219.42</v>
      </c>
      <c r="K24" s="36"/>
    </row>
    <row r="25">
      <c r="B25" s="129">
        <v>46051.0</v>
      </c>
      <c r="C25" s="113" t="s">
        <v>73</v>
      </c>
      <c r="D25" s="126">
        <v>10.0</v>
      </c>
      <c r="E25" s="124">
        <v>25.41</v>
      </c>
      <c r="F25" s="124">
        <v>0.0</v>
      </c>
      <c r="G25" s="125">
        <f t="shared" si="1"/>
        <v>254.1</v>
      </c>
      <c r="K25" s="36"/>
    </row>
    <row r="26">
      <c r="B26" s="129">
        <v>46087.0</v>
      </c>
      <c r="C26" s="113" t="s">
        <v>73</v>
      </c>
      <c r="D26" s="126">
        <v>16.0</v>
      </c>
      <c r="E26" s="124">
        <v>21.78</v>
      </c>
      <c r="F26" s="124">
        <v>0.0</v>
      </c>
      <c r="G26" s="125">
        <f t="shared" si="1"/>
        <v>348.48</v>
      </c>
      <c r="K26" s="36"/>
    </row>
    <row r="27">
      <c r="B27" s="129">
        <v>46205.0</v>
      </c>
      <c r="C27" s="113" t="s">
        <v>73</v>
      </c>
      <c r="D27" s="126">
        <v>16.0</v>
      </c>
      <c r="E27" s="124">
        <v>20.73</v>
      </c>
      <c r="F27" s="124">
        <v>0.0</v>
      </c>
      <c r="G27" s="125">
        <f t="shared" si="1"/>
        <v>331.68</v>
      </c>
      <c r="K27" s="36"/>
    </row>
    <row r="28">
      <c r="B28" s="129"/>
      <c r="C28" s="113"/>
      <c r="D28" s="126"/>
      <c r="E28" s="124"/>
      <c r="F28" s="124"/>
      <c r="G28" s="125"/>
      <c r="K28" s="36"/>
    </row>
    <row r="29">
      <c r="B29" s="128"/>
      <c r="C29" s="113"/>
      <c r="D29" s="127"/>
      <c r="E29" s="124"/>
      <c r="F29" s="124"/>
      <c r="G29" s="125"/>
      <c r="H29" s="40"/>
      <c r="I29" s="40"/>
      <c r="J29" s="40"/>
      <c r="K29" s="41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89</v>
      </c>
      <c r="D2" s="3" t="s">
        <v>24</v>
      </c>
      <c r="E2" s="5"/>
      <c r="F2" s="21" t="str">
        <f>IFERROR(__xludf.DUMMYFUNCTION("IF(C2="""","""",GOOGLEFINANCE(C2,""Name""))"),"B3 SA Brasil Bolsa Balcao")</f>
        <v>B3 SA Brasil Bolsa Balcao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112">
        <v>44628.0</v>
      </c>
      <c r="C4" s="113" t="s">
        <v>73</v>
      </c>
      <c r="D4" s="113">
        <v>8.0</v>
      </c>
      <c r="E4" s="124">
        <v>13.91</v>
      </c>
      <c r="F4" s="124">
        <v>0.0</v>
      </c>
      <c r="G4" s="125">
        <f t="shared" ref="G4:G27" si="1">E4*D4</f>
        <v>111.28</v>
      </c>
      <c r="H4" s="32" t="str">
        <f>IFERROR(__xludf.DUMMYFUNCTION("IF(C2="""","""",SPARKLINE(GOOGLEFINANCE(C2,""price"",TODAY()-K4,TODAY())))"),"")</f>
        <v/>
      </c>
      <c r="K4" s="33">
        <v>90.0</v>
      </c>
    </row>
    <row r="5">
      <c r="B5" s="112">
        <v>44655.0</v>
      </c>
      <c r="C5" s="113" t="s">
        <v>73</v>
      </c>
      <c r="D5" s="113">
        <v>6.0</v>
      </c>
      <c r="E5" s="124">
        <v>15.98</v>
      </c>
      <c r="F5" s="124">
        <v>0.0</v>
      </c>
      <c r="G5" s="125">
        <f t="shared" si="1"/>
        <v>95.88</v>
      </c>
      <c r="K5" s="34"/>
    </row>
    <row r="6">
      <c r="B6" s="112">
        <v>44743.0</v>
      </c>
      <c r="C6" s="113" t="s">
        <v>73</v>
      </c>
      <c r="D6" s="113">
        <v>9.0</v>
      </c>
      <c r="E6" s="124">
        <v>11.26</v>
      </c>
      <c r="F6" s="124">
        <v>0.0</v>
      </c>
      <c r="G6" s="125">
        <f t="shared" si="1"/>
        <v>101.34</v>
      </c>
      <c r="H6" s="15"/>
      <c r="I6" s="15"/>
      <c r="J6" s="15"/>
      <c r="K6" s="34"/>
    </row>
    <row r="7">
      <c r="B7" s="112">
        <v>44841.0</v>
      </c>
      <c r="C7" s="113" t="s">
        <v>73</v>
      </c>
      <c r="D7" s="113">
        <v>8.0</v>
      </c>
      <c r="E7" s="124">
        <v>14.72</v>
      </c>
      <c r="F7" s="124">
        <v>0.0</v>
      </c>
      <c r="G7" s="125">
        <f t="shared" si="1"/>
        <v>117.76</v>
      </c>
      <c r="K7" s="35"/>
    </row>
    <row r="8">
      <c r="B8" s="112">
        <v>44935.0</v>
      </c>
      <c r="C8" s="113" t="s">
        <v>73</v>
      </c>
      <c r="D8" s="113">
        <v>8.0</v>
      </c>
      <c r="E8" s="124">
        <v>12.51</v>
      </c>
      <c r="F8" s="124">
        <v>0.0</v>
      </c>
      <c r="G8" s="125">
        <f t="shared" si="1"/>
        <v>100.08</v>
      </c>
      <c r="K8" s="36"/>
    </row>
    <row r="9">
      <c r="B9" s="112">
        <v>44999.0</v>
      </c>
      <c r="C9" s="113" t="s">
        <v>73</v>
      </c>
      <c r="D9" s="113">
        <v>27.0</v>
      </c>
      <c r="E9" s="124">
        <v>11.49</v>
      </c>
      <c r="F9" s="124">
        <v>0.0</v>
      </c>
      <c r="G9" s="124">
        <f t="shared" si="1"/>
        <v>310.23</v>
      </c>
      <c r="K9" s="36"/>
    </row>
    <row r="10">
      <c r="B10" s="116">
        <v>45246.0</v>
      </c>
      <c r="C10" s="113" t="s">
        <v>73</v>
      </c>
      <c r="D10" s="113">
        <v>15.0</v>
      </c>
      <c r="E10" s="124">
        <v>12.96</v>
      </c>
      <c r="F10" s="124">
        <v>0.0</v>
      </c>
      <c r="G10" s="124">
        <f t="shared" si="1"/>
        <v>194.4</v>
      </c>
      <c r="I10" s="25" t="s">
        <v>32</v>
      </c>
      <c r="J10" s="32">
        <f>SUMIFS(D4:D29,C4:C29,"COMPRA")</f>
        <v>386</v>
      </c>
      <c r="K10" s="36"/>
    </row>
    <row r="11">
      <c r="B11" s="112">
        <v>45300.0</v>
      </c>
      <c r="C11" s="113" t="s">
        <v>73</v>
      </c>
      <c r="D11" s="113">
        <v>9.0</v>
      </c>
      <c r="E11" s="124">
        <v>14.08</v>
      </c>
      <c r="F11" s="124">
        <v>0.0</v>
      </c>
      <c r="G11" s="124">
        <f t="shared" si="1"/>
        <v>126.72</v>
      </c>
      <c r="I11" s="25" t="s">
        <v>33</v>
      </c>
      <c r="J11" s="32">
        <f>SUMIFS(D4:D29,C4:C29,"VENDA")</f>
        <v>0</v>
      </c>
      <c r="K11" s="36"/>
    </row>
    <row r="12">
      <c r="B12" s="112">
        <v>45341.0</v>
      </c>
      <c r="C12" s="113" t="s">
        <v>73</v>
      </c>
      <c r="D12" s="113">
        <v>18.0</v>
      </c>
      <c r="E12" s="124">
        <v>12.69</v>
      </c>
      <c r="F12" s="124">
        <v>0.0</v>
      </c>
      <c r="G12" s="124">
        <f t="shared" si="1"/>
        <v>228.42</v>
      </c>
      <c r="I12" s="25" t="s">
        <v>34</v>
      </c>
      <c r="J12" s="32">
        <f>J10-J11</f>
        <v>386</v>
      </c>
      <c r="K12" s="36"/>
    </row>
    <row r="13">
      <c r="B13" s="112">
        <v>45426.0</v>
      </c>
      <c r="C13" s="113" t="s">
        <v>73</v>
      </c>
      <c r="D13" s="113">
        <v>8.0</v>
      </c>
      <c r="E13" s="124">
        <v>11.48</v>
      </c>
      <c r="F13" s="124">
        <v>0.0</v>
      </c>
      <c r="G13" s="124">
        <f t="shared" si="1"/>
        <v>91.84</v>
      </c>
      <c r="I13" s="25" t="s">
        <v>35</v>
      </c>
      <c r="J13" s="37">
        <f>SUMIFS(G4:G29,C4:C29,"COMPRA")</f>
        <v>4818.95</v>
      </c>
      <c r="K13" s="36"/>
    </row>
    <row r="14">
      <c r="B14" s="112">
        <v>45453.0</v>
      </c>
      <c r="C14" s="113" t="s">
        <v>73</v>
      </c>
      <c r="D14" s="113">
        <v>15.0</v>
      </c>
      <c r="E14" s="124">
        <v>10.55</v>
      </c>
      <c r="F14" s="124">
        <v>0.0</v>
      </c>
      <c r="G14" s="124">
        <f t="shared" si="1"/>
        <v>158.25</v>
      </c>
      <c r="I14" s="25" t="s">
        <v>36</v>
      </c>
      <c r="J14" s="37">
        <f>SUMIFS(E4:E29,C4:C29,"VENDA")</f>
        <v>0</v>
      </c>
      <c r="K14" s="36"/>
    </row>
    <row r="15">
      <c r="B15" s="112">
        <v>45505.0</v>
      </c>
      <c r="C15" s="113" t="s">
        <v>73</v>
      </c>
      <c r="D15" s="113">
        <v>11.0</v>
      </c>
      <c r="E15" s="124">
        <v>11.18</v>
      </c>
      <c r="F15" s="124">
        <v>0.0</v>
      </c>
      <c r="G15" s="124">
        <f t="shared" si="1"/>
        <v>122.98</v>
      </c>
      <c r="I15" s="7" t="s">
        <v>37</v>
      </c>
      <c r="J15" s="37">
        <f>SUM(F4:F29)</f>
        <v>0</v>
      </c>
      <c r="K15" s="36"/>
    </row>
    <row r="16">
      <c r="B16" s="112">
        <v>45551.0</v>
      </c>
      <c r="C16" s="113" t="s">
        <v>73</v>
      </c>
      <c r="D16" s="113">
        <v>12.0</v>
      </c>
      <c r="E16" s="124">
        <v>12.16</v>
      </c>
      <c r="F16" s="124">
        <v>0.0</v>
      </c>
      <c r="G16" s="124">
        <f t="shared" si="1"/>
        <v>145.92</v>
      </c>
      <c r="I16" s="25" t="s">
        <v>10</v>
      </c>
      <c r="J16" s="37">
        <f>IF(J10&lt;&gt;0,((J13+J15)/J10),"")</f>
        <v>12.48432642</v>
      </c>
      <c r="K16" s="36"/>
    </row>
    <row r="17">
      <c r="B17" s="116">
        <v>45595.0</v>
      </c>
      <c r="C17" s="113" t="s">
        <v>73</v>
      </c>
      <c r="D17" s="113">
        <v>57.0</v>
      </c>
      <c r="E17" s="124">
        <v>10.78</v>
      </c>
      <c r="F17" s="124">
        <v>0.0</v>
      </c>
      <c r="G17" s="124">
        <f t="shared" si="1"/>
        <v>614.46</v>
      </c>
      <c r="K17" s="36"/>
    </row>
    <row r="18">
      <c r="B18" s="112">
        <v>45628.0</v>
      </c>
      <c r="C18" s="113" t="s">
        <v>73</v>
      </c>
      <c r="D18" s="113">
        <v>17.0</v>
      </c>
      <c r="E18" s="124">
        <v>9.21</v>
      </c>
      <c r="F18" s="124">
        <v>0.0</v>
      </c>
      <c r="G18" s="124">
        <f t="shared" si="1"/>
        <v>156.57</v>
      </c>
      <c r="K18" s="36"/>
    </row>
    <row r="19">
      <c r="B19" s="112">
        <v>45667.0</v>
      </c>
      <c r="C19" s="113" t="s">
        <v>73</v>
      </c>
      <c r="D19" s="113">
        <v>22.0</v>
      </c>
      <c r="E19" s="124">
        <v>10.14</v>
      </c>
      <c r="F19" s="124">
        <v>0.0</v>
      </c>
      <c r="G19" s="124">
        <f t="shared" si="1"/>
        <v>223.08</v>
      </c>
      <c r="K19" s="36"/>
    </row>
    <row r="20">
      <c r="B20" s="112">
        <v>45667.0</v>
      </c>
      <c r="C20" s="113" t="s">
        <v>73</v>
      </c>
      <c r="D20" s="113">
        <v>12.0</v>
      </c>
      <c r="E20" s="124">
        <v>10.34</v>
      </c>
      <c r="F20" s="124">
        <v>0.0</v>
      </c>
      <c r="G20" s="124">
        <f t="shared" si="1"/>
        <v>124.08</v>
      </c>
      <c r="K20" s="36"/>
    </row>
    <row r="21">
      <c r="B21" s="128">
        <v>45758.0</v>
      </c>
      <c r="C21" s="113" t="s">
        <v>73</v>
      </c>
      <c r="D21" s="127">
        <v>11.0</v>
      </c>
      <c r="E21" s="124">
        <v>11.94</v>
      </c>
      <c r="F21" s="124">
        <v>0.0</v>
      </c>
      <c r="G21" s="124">
        <f t="shared" si="1"/>
        <v>131.34</v>
      </c>
      <c r="K21" s="36"/>
    </row>
    <row r="22">
      <c r="B22" s="112">
        <v>45922.0</v>
      </c>
      <c r="C22" s="113" t="s">
        <v>73</v>
      </c>
      <c r="D22" s="113">
        <v>19.0</v>
      </c>
      <c r="E22" s="124">
        <v>13.62</v>
      </c>
      <c r="F22" s="124">
        <v>0.0</v>
      </c>
      <c r="G22" s="124">
        <f t="shared" si="1"/>
        <v>258.78</v>
      </c>
      <c r="K22" s="36"/>
    </row>
    <row r="23">
      <c r="B23" s="112">
        <v>45939.0</v>
      </c>
      <c r="C23" s="113" t="s">
        <v>73</v>
      </c>
      <c r="D23" s="113">
        <v>18.0</v>
      </c>
      <c r="E23" s="124">
        <v>12.85</v>
      </c>
      <c r="F23" s="124">
        <v>0.0</v>
      </c>
      <c r="G23" s="124">
        <f t="shared" si="1"/>
        <v>231.3</v>
      </c>
      <c r="K23" s="36"/>
    </row>
    <row r="24">
      <c r="B24" s="128">
        <v>46000.0</v>
      </c>
      <c r="C24" s="113" t="s">
        <v>73</v>
      </c>
      <c r="D24" s="127">
        <v>16.0</v>
      </c>
      <c r="E24" s="124">
        <v>14.01</v>
      </c>
      <c r="F24" s="124">
        <v>0.0</v>
      </c>
      <c r="G24" s="124">
        <f t="shared" si="1"/>
        <v>224.16</v>
      </c>
      <c r="K24" s="36"/>
    </row>
    <row r="25">
      <c r="B25" s="129">
        <v>46051.0</v>
      </c>
      <c r="C25" s="113" t="s">
        <v>73</v>
      </c>
      <c r="D25" s="126">
        <v>16.0</v>
      </c>
      <c r="E25" s="124">
        <v>16.38</v>
      </c>
      <c r="F25" s="124">
        <v>0.0</v>
      </c>
      <c r="G25" s="124">
        <f t="shared" si="1"/>
        <v>262.08</v>
      </c>
      <c r="K25" s="36"/>
    </row>
    <row r="26">
      <c r="B26" s="129">
        <v>46087.0</v>
      </c>
      <c r="C26" s="113" t="s">
        <v>73</v>
      </c>
      <c r="D26" s="126">
        <v>20.0</v>
      </c>
      <c r="E26" s="124">
        <v>17.0</v>
      </c>
      <c r="F26" s="124">
        <v>0.0</v>
      </c>
      <c r="G26" s="124">
        <f t="shared" si="1"/>
        <v>340</v>
      </c>
      <c r="K26" s="36"/>
    </row>
    <row r="27">
      <c r="B27" s="129">
        <v>46205.0</v>
      </c>
      <c r="C27" s="113" t="s">
        <v>73</v>
      </c>
      <c r="D27" s="126">
        <v>24.0</v>
      </c>
      <c r="E27" s="124">
        <v>14.5</v>
      </c>
      <c r="F27" s="124">
        <v>0.0</v>
      </c>
      <c r="G27" s="124">
        <f t="shared" si="1"/>
        <v>348</v>
      </c>
      <c r="K27" s="36"/>
    </row>
    <row r="28">
      <c r="B28" s="129"/>
      <c r="C28" s="113"/>
      <c r="D28" s="126"/>
      <c r="E28" s="124"/>
      <c r="F28" s="124"/>
      <c r="G28" s="124"/>
      <c r="K28" s="36"/>
    </row>
    <row r="29">
      <c r="B29" s="128"/>
      <c r="C29" s="113"/>
      <c r="D29" s="127"/>
      <c r="E29" s="124"/>
      <c r="F29" s="124"/>
      <c r="G29" s="124"/>
      <c r="H29" s="40"/>
      <c r="I29" s="40"/>
      <c r="J29" s="40"/>
      <c r="K29" s="41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90</v>
      </c>
      <c r="D2" s="3" t="s">
        <v>24</v>
      </c>
      <c r="E2" s="5"/>
      <c r="F2" s="21" t="str">
        <f>IFERROR(__xludf.DUMMYFUNCTION("IF(C2="""","""",GOOGLEFINANCE(C2,""Name""))"),"Banco Bradesco Cedear")</f>
        <v>Banco Bradesco Cedear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112">
        <v>44628.0</v>
      </c>
      <c r="C4" s="113" t="s">
        <v>73</v>
      </c>
      <c r="D4" s="113">
        <v>7.0</v>
      </c>
      <c r="E4" s="124">
        <v>16.4</v>
      </c>
      <c r="F4" s="124">
        <v>0.0</v>
      </c>
      <c r="G4" s="125">
        <f t="shared" ref="G4:G27" si="1">E4*D4</f>
        <v>114.8</v>
      </c>
      <c r="H4" s="32" t="str">
        <f>IFERROR(__xludf.DUMMYFUNCTION("IF(C2="""","""",SPARKLINE(GOOGLEFINANCE(C2,""price"",TODAY()-K4,TODAY())))"),"")</f>
        <v/>
      </c>
      <c r="K4" s="33">
        <v>30.0</v>
      </c>
    </row>
    <row r="5">
      <c r="B5" s="112">
        <v>44655.0</v>
      </c>
      <c r="C5" s="113" t="s">
        <v>73</v>
      </c>
      <c r="D5" s="113">
        <v>6.0</v>
      </c>
      <c r="E5" s="124">
        <v>17.95</v>
      </c>
      <c r="F5" s="124">
        <v>0.0</v>
      </c>
      <c r="G5" s="125">
        <f t="shared" si="1"/>
        <v>107.7</v>
      </c>
      <c r="K5" s="34"/>
    </row>
    <row r="6">
      <c r="B6" s="112">
        <v>44743.0</v>
      </c>
      <c r="C6" s="113" t="s">
        <v>73</v>
      </c>
      <c r="D6" s="113">
        <v>7.0</v>
      </c>
      <c r="E6" s="124">
        <v>14.46</v>
      </c>
      <c r="F6" s="124">
        <v>0.0</v>
      </c>
      <c r="G6" s="125">
        <f t="shared" si="1"/>
        <v>101.22</v>
      </c>
      <c r="H6" s="15"/>
      <c r="I6" s="15"/>
      <c r="J6" s="15"/>
      <c r="K6" s="34"/>
    </row>
    <row r="7">
      <c r="B7" s="112">
        <v>44841.0</v>
      </c>
      <c r="C7" s="113" t="s">
        <v>73</v>
      </c>
      <c r="D7" s="113">
        <v>5.0</v>
      </c>
      <c r="E7" s="124">
        <v>16.74</v>
      </c>
      <c r="F7" s="124">
        <v>0.0</v>
      </c>
      <c r="G7" s="125">
        <f t="shared" si="1"/>
        <v>83.7</v>
      </c>
      <c r="K7" s="35"/>
    </row>
    <row r="8">
      <c r="B8" s="112">
        <v>44935.0</v>
      </c>
      <c r="C8" s="113" t="s">
        <v>73</v>
      </c>
      <c r="D8" s="113">
        <v>7.0</v>
      </c>
      <c r="E8" s="124">
        <v>13.0</v>
      </c>
      <c r="F8" s="124">
        <v>0.0</v>
      </c>
      <c r="G8" s="125">
        <f t="shared" si="1"/>
        <v>91</v>
      </c>
      <c r="K8" s="36"/>
    </row>
    <row r="9">
      <c r="B9" s="112">
        <v>44935.0</v>
      </c>
      <c r="C9" s="113" t="s">
        <v>73</v>
      </c>
      <c r="D9" s="113">
        <v>12.0</v>
      </c>
      <c r="E9" s="124">
        <v>12.98</v>
      </c>
      <c r="F9" s="124">
        <v>0.0</v>
      </c>
      <c r="G9" s="125">
        <f t="shared" si="1"/>
        <v>155.76</v>
      </c>
      <c r="K9" s="36"/>
    </row>
    <row r="10">
      <c r="B10" s="112">
        <v>44999.0</v>
      </c>
      <c r="C10" s="113" t="s">
        <v>73</v>
      </c>
      <c r="D10" s="113">
        <v>27.0</v>
      </c>
      <c r="E10" s="124">
        <v>11.7</v>
      </c>
      <c r="F10" s="124">
        <v>0.0</v>
      </c>
      <c r="G10" s="125">
        <f t="shared" si="1"/>
        <v>315.9</v>
      </c>
      <c r="I10" s="25" t="s">
        <v>32</v>
      </c>
      <c r="J10" s="32">
        <f>SUMIFS(D4:D29,C4:C29,"COMPRA")</f>
        <v>376</v>
      </c>
      <c r="K10" s="36"/>
    </row>
    <row r="11">
      <c r="B11" s="116">
        <v>45246.0</v>
      </c>
      <c r="C11" s="113" t="s">
        <v>73</v>
      </c>
      <c r="D11" s="113">
        <v>14.0</v>
      </c>
      <c r="E11" s="124">
        <v>13.73</v>
      </c>
      <c r="F11" s="124">
        <v>0.0</v>
      </c>
      <c r="G11" s="125">
        <f t="shared" si="1"/>
        <v>192.22</v>
      </c>
      <c r="I11" s="25" t="s">
        <v>33</v>
      </c>
      <c r="J11" s="32">
        <f>SUMIFS(D4:D29,C4:C29,"VENDA")</f>
        <v>0</v>
      </c>
      <c r="K11" s="36"/>
    </row>
    <row r="12">
      <c r="B12" s="112">
        <v>45300.0</v>
      </c>
      <c r="C12" s="113" t="s">
        <v>73</v>
      </c>
      <c r="D12" s="113">
        <v>9.0</v>
      </c>
      <c r="E12" s="124">
        <v>14.72</v>
      </c>
      <c r="F12" s="124">
        <v>0.0</v>
      </c>
      <c r="G12" s="125">
        <f t="shared" si="1"/>
        <v>132.48</v>
      </c>
      <c r="I12" s="25" t="s">
        <v>34</v>
      </c>
      <c r="J12" s="32">
        <f>J10-J11</f>
        <v>376</v>
      </c>
      <c r="K12" s="36"/>
    </row>
    <row r="13">
      <c r="B13" s="112">
        <v>45341.0</v>
      </c>
      <c r="C13" s="113" t="s">
        <v>73</v>
      </c>
      <c r="D13" s="113">
        <v>19.0</v>
      </c>
      <c r="E13" s="124">
        <v>12.34</v>
      </c>
      <c r="F13" s="124">
        <v>0.0</v>
      </c>
      <c r="G13" s="125">
        <f t="shared" si="1"/>
        <v>234.46</v>
      </c>
      <c r="I13" s="25" t="s">
        <v>35</v>
      </c>
      <c r="J13" s="37">
        <f>SUMIFS(G4:G29,C4:C29,"COMPRA")</f>
        <v>5116.15</v>
      </c>
      <c r="K13" s="36"/>
    </row>
    <row r="14">
      <c r="B14" s="112">
        <v>45426.0</v>
      </c>
      <c r="C14" s="113" t="s">
        <v>73</v>
      </c>
      <c r="D14" s="113">
        <v>7.0</v>
      </c>
      <c r="E14" s="124">
        <v>11.95</v>
      </c>
      <c r="F14" s="124">
        <v>0.0</v>
      </c>
      <c r="G14" s="125">
        <f t="shared" si="1"/>
        <v>83.65</v>
      </c>
      <c r="I14" s="25" t="s">
        <v>36</v>
      </c>
      <c r="J14" s="37">
        <f>SUMIFS(E4:E29,C4:C29,"VENDA")</f>
        <v>0</v>
      </c>
      <c r="K14" s="36"/>
    </row>
    <row r="15">
      <c r="B15" s="112">
        <v>45453.0</v>
      </c>
      <c r="C15" s="113" t="s">
        <v>73</v>
      </c>
      <c r="D15" s="113">
        <v>13.0</v>
      </c>
      <c r="E15" s="124">
        <v>11.45</v>
      </c>
      <c r="F15" s="124">
        <v>0.0</v>
      </c>
      <c r="G15" s="125">
        <f t="shared" si="1"/>
        <v>148.85</v>
      </c>
      <c r="I15" s="7" t="s">
        <v>37</v>
      </c>
      <c r="J15" s="37">
        <f>SUM(F4:F29)</f>
        <v>0</v>
      </c>
      <c r="K15" s="36"/>
    </row>
    <row r="16">
      <c r="B16" s="112">
        <v>45505.0</v>
      </c>
      <c r="C16" s="113" t="s">
        <v>73</v>
      </c>
      <c r="D16" s="113">
        <v>11.0</v>
      </c>
      <c r="E16" s="124">
        <v>11.41</v>
      </c>
      <c r="F16" s="124">
        <v>0.0</v>
      </c>
      <c r="G16" s="125">
        <f t="shared" si="1"/>
        <v>125.51</v>
      </c>
      <c r="I16" s="25" t="s">
        <v>10</v>
      </c>
      <c r="J16" s="37">
        <f>IF(J10&lt;&gt;0,((J13+J15)/J10),"")</f>
        <v>13.60678191</v>
      </c>
      <c r="K16" s="36"/>
    </row>
    <row r="17">
      <c r="B17" s="116">
        <v>45595.0</v>
      </c>
      <c r="C17" s="113" t="s">
        <v>73</v>
      </c>
      <c r="D17" s="113">
        <v>47.0</v>
      </c>
      <c r="E17" s="124">
        <v>13.19</v>
      </c>
      <c r="F17" s="124">
        <v>0.0</v>
      </c>
      <c r="G17" s="125">
        <f t="shared" si="1"/>
        <v>619.93</v>
      </c>
      <c r="K17" s="36"/>
    </row>
    <row r="18">
      <c r="B18" s="112">
        <v>45628.0</v>
      </c>
      <c r="C18" s="113" t="s">
        <v>73</v>
      </c>
      <c r="D18" s="113">
        <v>14.0</v>
      </c>
      <c r="E18" s="124">
        <v>10.93</v>
      </c>
      <c r="F18" s="124">
        <v>0.0</v>
      </c>
      <c r="G18" s="125">
        <f t="shared" si="1"/>
        <v>153.02</v>
      </c>
      <c r="K18" s="36"/>
    </row>
    <row r="19">
      <c r="B19" s="112">
        <v>45667.0</v>
      </c>
      <c r="C19" s="113" t="s">
        <v>73</v>
      </c>
      <c r="D19" s="113">
        <v>21.0</v>
      </c>
      <c r="E19" s="124">
        <v>10.38</v>
      </c>
      <c r="F19" s="124">
        <v>0.0</v>
      </c>
      <c r="G19" s="125">
        <f t="shared" si="1"/>
        <v>217.98</v>
      </c>
      <c r="K19" s="36"/>
    </row>
    <row r="20">
      <c r="B20" s="131">
        <v>45758.0</v>
      </c>
      <c r="C20" s="113" t="s">
        <v>73</v>
      </c>
      <c r="D20" s="113">
        <v>24.0</v>
      </c>
      <c r="E20" s="124">
        <v>11.26</v>
      </c>
      <c r="F20" s="124">
        <v>0.0</v>
      </c>
      <c r="G20" s="125">
        <f t="shared" si="1"/>
        <v>270.24</v>
      </c>
      <c r="K20" s="36"/>
    </row>
    <row r="21">
      <c r="B21" s="131">
        <v>45848.0</v>
      </c>
      <c r="C21" s="113" t="s">
        <v>73</v>
      </c>
      <c r="D21" s="113">
        <v>20.0</v>
      </c>
      <c r="E21" s="124">
        <v>13.83</v>
      </c>
      <c r="F21" s="124">
        <v>0.0</v>
      </c>
      <c r="G21" s="125">
        <f t="shared" si="1"/>
        <v>276.6</v>
      </c>
      <c r="K21" s="36"/>
    </row>
    <row r="22">
      <c r="B22" s="131">
        <v>45922.0</v>
      </c>
      <c r="C22" s="113" t="s">
        <v>73</v>
      </c>
      <c r="D22" s="113">
        <v>18.0</v>
      </c>
      <c r="E22" s="124">
        <v>15.08</v>
      </c>
      <c r="F22" s="124">
        <v>0.0</v>
      </c>
      <c r="G22" s="125">
        <f t="shared" si="1"/>
        <v>271.44</v>
      </c>
      <c r="K22" s="36"/>
    </row>
    <row r="23">
      <c r="B23" s="131">
        <v>45939.0</v>
      </c>
      <c r="C23" s="113" t="s">
        <v>73</v>
      </c>
      <c r="D23" s="113">
        <v>16.0</v>
      </c>
      <c r="E23" s="124">
        <v>14.51</v>
      </c>
      <c r="F23" s="124">
        <v>0.0</v>
      </c>
      <c r="G23" s="125">
        <f t="shared" si="1"/>
        <v>232.16</v>
      </c>
      <c r="K23" s="36"/>
    </row>
    <row r="24">
      <c r="B24" s="131">
        <v>46000.0</v>
      </c>
      <c r="C24" s="113" t="s">
        <v>73</v>
      </c>
      <c r="D24" s="113">
        <v>15.0</v>
      </c>
      <c r="E24" s="124">
        <v>15.42</v>
      </c>
      <c r="F24" s="124">
        <v>0.0</v>
      </c>
      <c r="G24" s="125">
        <f t="shared" si="1"/>
        <v>231.3</v>
      </c>
      <c r="K24" s="36"/>
    </row>
    <row r="25">
      <c r="B25" s="131">
        <v>46051.0</v>
      </c>
      <c r="C25" s="113" t="s">
        <v>73</v>
      </c>
      <c r="D25" s="113">
        <v>14.0</v>
      </c>
      <c r="E25" s="124">
        <v>18.38</v>
      </c>
      <c r="F25" s="124">
        <v>0.0</v>
      </c>
      <c r="G25" s="125">
        <f t="shared" si="1"/>
        <v>257.32</v>
      </c>
      <c r="K25" s="36"/>
    </row>
    <row r="26">
      <c r="B26" s="131">
        <v>46087.0</v>
      </c>
      <c r="C26" s="113" t="s">
        <v>73</v>
      </c>
      <c r="D26" s="113">
        <v>21.0</v>
      </c>
      <c r="E26" s="124">
        <v>16.75</v>
      </c>
      <c r="F26" s="124">
        <v>0.0</v>
      </c>
      <c r="G26" s="125">
        <f t="shared" si="1"/>
        <v>351.75</v>
      </c>
      <c r="K26" s="36"/>
    </row>
    <row r="27">
      <c r="B27" s="131">
        <v>46205.0</v>
      </c>
      <c r="C27" s="113" t="s">
        <v>73</v>
      </c>
      <c r="D27" s="113">
        <v>22.0</v>
      </c>
      <c r="E27" s="124">
        <v>15.78</v>
      </c>
      <c r="F27" s="124">
        <v>0.0</v>
      </c>
      <c r="G27" s="125">
        <f t="shared" si="1"/>
        <v>347.16</v>
      </c>
      <c r="K27" s="36"/>
    </row>
    <row r="28">
      <c r="B28" s="131"/>
      <c r="C28" s="113"/>
      <c r="D28" s="113"/>
      <c r="E28" s="124"/>
      <c r="F28" s="124"/>
      <c r="G28" s="125"/>
      <c r="K28" s="36"/>
    </row>
    <row r="29">
      <c r="B29" s="128"/>
      <c r="C29" s="127"/>
      <c r="D29" s="127"/>
      <c r="E29" s="124"/>
      <c r="F29" s="124"/>
      <c r="G29" s="125"/>
      <c r="H29" s="40"/>
      <c r="I29" s="40"/>
      <c r="J29" s="40"/>
      <c r="K29" s="41"/>
    </row>
    <row r="1009">
      <c r="F1009" s="124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92</v>
      </c>
      <c r="D2" s="3" t="s">
        <v>24</v>
      </c>
      <c r="E2" s="5"/>
      <c r="F2" s="21" t="str">
        <f>IFERROR(__xludf.DUMMYFUNCTION("IF(C2="""","""",GOOGLEFINANCE(C2,""Name""))"),"Amebv Cedear")</f>
        <v>Amebv Cedear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112">
        <v>44628.0</v>
      </c>
      <c r="C4" s="113" t="s">
        <v>73</v>
      </c>
      <c r="D4" s="113">
        <v>8.0</v>
      </c>
      <c r="E4" s="124">
        <v>13.44</v>
      </c>
      <c r="F4" s="124">
        <v>0.0</v>
      </c>
      <c r="G4" s="125">
        <f t="shared" ref="G4:G26" si="1">E4*D4</f>
        <v>107.52</v>
      </c>
      <c r="H4" s="32" t="str">
        <f>IFERROR(__xludf.DUMMYFUNCTION("IF(C2="""","""",SPARKLINE(GOOGLEFINANCE(C2,""price"",TODAY()-K4,TODAY())))"),"")</f>
        <v/>
      </c>
      <c r="K4" s="33">
        <v>30.0</v>
      </c>
    </row>
    <row r="5">
      <c r="B5" s="112">
        <v>44655.0</v>
      </c>
      <c r="C5" s="113" t="s">
        <v>73</v>
      </c>
      <c r="D5" s="113">
        <v>5.0</v>
      </c>
      <c r="E5" s="124">
        <v>15.24</v>
      </c>
      <c r="F5" s="124">
        <v>0.0</v>
      </c>
      <c r="G5" s="125">
        <f t="shared" si="1"/>
        <v>76.2</v>
      </c>
      <c r="K5" s="34"/>
    </row>
    <row r="6">
      <c r="B6" s="112">
        <v>44743.0</v>
      </c>
      <c r="C6" s="113" t="s">
        <v>73</v>
      </c>
      <c r="D6" s="113">
        <v>7.0</v>
      </c>
      <c r="E6" s="124">
        <v>13.76</v>
      </c>
      <c r="F6" s="124">
        <v>0.0</v>
      </c>
      <c r="G6" s="125">
        <f t="shared" si="1"/>
        <v>96.32</v>
      </c>
      <c r="H6" s="15"/>
      <c r="I6" s="15"/>
      <c r="J6" s="15"/>
      <c r="K6" s="34"/>
    </row>
    <row r="7">
      <c r="B7" s="112">
        <v>44841.0</v>
      </c>
      <c r="C7" s="113" t="s">
        <v>73</v>
      </c>
      <c r="D7" s="113">
        <v>7.0</v>
      </c>
      <c r="E7" s="124">
        <v>15.53</v>
      </c>
      <c r="F7" s="124">
        <v>0.0</v>
      </c>
      <c r="G7" s="125">
        <f t="shared" si="1"/>
        <v>108.71</v>
      </c>
      <c r="K7" s="35"/>
    </row>
    <row r="8">
      <c r="B8" s="112">
        <v>44935.0</v>
      </c>
      <c r="C8" s="113" t="s">
        <v>73</v>
      </c>
      <c r="D8" s="113">
        <v>7.0</v>
      </c>
      <c r="E8" s="124">
        <v>14.39</v>
      </c>
      <c r="F8" s="124">
        <v>0.0</v>
      </c>
      <c r="G8" s="125">
        <f t="shared" si="1"/>
        <v>100.73</v>
      </c>
      <c r="K8" s="36"/>
    </row>
    <row r="9">
      <c r="B9" s="112">
        <v>44999.0</v>
      </c>
      <c r="C9" s="113" t="s">
        <v>73</v>
      </c>
      <c r="D9" s="113">
        <v>22.0</v>
      </c>
      <c r="E9" s="124">
        <v>14.02</v>
      </c>
      <c r="F9" s="124">
        <v>0.0</v>
      </c>
      <c r="G9" s="124">
        <f t="shared" si="1"/>
        <v>308.44</v>
      </c>
      <c r="K9" s="36"/>
    </row>
    <row r="10">
      <c r="B10" s="116">
        <v>45246.0</v>
      </c>
      <c r="C10" s="113" t="s">
        <v>73</v>
      </c>
      <c r="D10" s="113">
        <v>14.0</v>
      </c>
      <c r="E10" s="124">
        <v>13.73</v>
      </c>
      <c r="F10" s="124">
        <v>0.0</v>
      </c>
      <c r="G10" s="124">
        <f t="shared" si="1"/>
        <v>192.22</v>
      </c>
      <c r="I10" s="25" t="s">
        <v>32</v>
      </c>
      <c r="J10" s="32">
        <f>SUMIFS(D4:D30,C4:C30,"COMPRA")</f>
        <v>378</v>
      </c>
      <c r="K10" s="36"/>
    </row>
    <row r="11">
      <c r="B11" s="112">
        <v>45341.0</v>
      </c>
      <c r="C11" s="113" t="s">
        <v>73</v>
      </c>
      <c r="D11" s="113">
        <v>26.0</v>
      </c>
      <c r="E11" s="124">
        <v>12.72</v>
      </c>
      <c r="F11" s="124">
        <v>0.0</v>
      </c>
      <c r="G11" s="124">
        <f t="shared" si="1"/>
        <v>330.72</v>
      </c>
      <c r="I11" s="25" t="s">
        <v>33</v>
      </c>
      <c r="J11" s="32">
        <f>SUMIFS(D4:D30,C4:C30,"VENDA")</f>
        <v>0</v>
      </c>
      <c r="K11" s="36"/>
    </row>
    <row r="12">
      <c r="B12" s="112">
        <v>45426.0</v>
      </c>
      <c r="C12" s="113" t="s">
        <v>73</v>
      </c>
      <c r="D12" s="113">
        <v>8.0</v>
      </c>
      <c r="E12" s="124">
        <v>12.14</v>
      </c>
      <c r="F12" s="124">
        <v>0.0</v>
      </c>
      <c r="G12" s="124">
        <f t="shared" si="1"/>
        <v>97.12</v>
      </c>
      <c r="I12" s="25" t="s">
        <v>34</v>
      </c>
      <c r="J12" s="32">
        <f>J10-J11</f>
        <v>378</v>
      </c>
      <c r="K12" s="36"/>
    </row>
    <row r="13">
      <c r="B13" s="112">
        <v>45453.0</v>
      </c>
      <c r="C13" s="113" t="s">
        <v>73</v>
      </c>
      <c r="D13" s="113">
        <v>13.0</v>
      </c>
      <c r="E13" s="124">
        <v>11.5</v>
      </c>
      <c r="F13" s="124">
        <v>0.0</v>
      </c>
      <c r="G13" s="124">
        <f t="shared" si="1"/>
        <v>149.5</v>
      </c>
      <c r="I13" s="25" t="s">
        <v>35</v>
      </c>
      <c r="J13" s="37">
        <f>SUMIFS(G4:G30,C4:C30,"COMPRA")</f>
        <v>5022.12</v>
      </c>
      <c r="K13" s="36"/>
    </row>
    <row r="14">
      <c r="B14" s="112">
        <v>45505.0</v>
      </c>
      <c r="C14" s="113" t="s">
        <v>73</v>
      </c>
      <c r="D14" s="113">
        <v>10.0</v>
      </c>
      <c r="E14" s="124">
        <v>11.7</v>
      </c>
      <c r="F14" s="124">
        <v>0.0</v>
      </c>
      <c r="G14" s="124">
        <f t="shared" si="1"/>
        <v>117</v>
      </c>
      <c r="I14" s="25" t="s">
        <v>36</v>
      </c>
      <c r="J14" s="37">
        <f>SUMIFS(E4:E30,C4:C30,"VENDA")</f>
        <v>0</v>
      </c>
      <c r="K14" s="36"/>
    </row>
    <row r="15">
      <c r="B15" s="112">
        <v>45505.0</v>
      </c>
      <c r="C15" s="113" t="s">
        <v>73</v>
      </c>
      <c r="D15" s="113">
        <v>21.0</v>
      </c>
      <c r="E15" s="124">
        <v>11.7</v>
      </c>
      <c r="F15" s="124">
        <v>0.0</v>
      </c>
      <c r="G15" s="124">
        <f t="shared" si="1"/>
        <v>245.7</v>
      </c>
      <c r="I15" s="7" t="s">
        <v>37</v>
      </c>
      <c r="J15" s="37">
        <f>SUM(F4:F30)</f>
        <v>0</v>
      </c>
      <c r="K15" s="36"/>
    </row>
    <row r="16">
      <c r="B16" s="116">
        <v>45595.0</v>
      </c>
      <c r="C16" s="113" t="s">
        <v>73</v>
      </c>
      <c r="D16" s="113">
        <v>47.0</v>
      </c>
      <c r="E16" s="124">
        <v>13.0</v>
      </c>
      <c r="F16" s="124">
        <v>0.0</v>
      </c>
      <c r="G16" s="124">
        <f t="shared" si="1"/>
        <v>611</v>
      </c>
      <c r="I16" s="25" t="s">
        <v>10</v>
      </c>
      <c r="J16" s="37">
        <f>IF(J10&lt;&gt;0,((J13+J15)/J10),"")</f>
        <v>13.28603175</v>
      </c>
      <c r="K16" s="36"/>
    </row>
    <row r="17">
      <c r="B17" s="112">
        <v>45628.0</v>
      </c>
      <c r="C17" s="113" t="s">
        <v>73</v>
      </c>
      <c r="D17" s="113">
        <v>12.0</v>
      </c>
      <c r="E17" s="124">
        <v>12.87</v>
      </c>
      <c r="F17" s="124">
        <v>0.0</v>
      </c>
      <c r="G17" s="124">
        <f t="shared" si="1"/>
        <v>154.44</v>
      </c>
      <c r="K17" s="36"/>
    </row>
    <row r="18">
      <c r="B18" s="112">
        <v>45667.0</v>
      </c>
      <c r="C18" s="113" t="s">
        <v>73</v>
      </c>
      <c r="D18" s="113">
        <v>19.0</v>
      </c>
      <c r="E18" s="124">
        <v>11.4</v>
      </c>
      <c r="F18" s="124">
        <v>0.0</v>
      </c>
      <c r="G18" s="124">
        <f t="shared" si="1"/>
        <v>216.6</v>
      </c>
      <c r="K18" s="36"/>
    </row>
    <row r="19">
      <c r="B19" s="112">
        <v>45758.0</v>
      </c>
      <c r="C19" s="113" t="s">
        <v>73</v>
      </c>
      <c r="D19" s="113">
        <v>10.0</v>
      </c>
      <c r="E19" s="124">
        <v>13.5</v>
      </c>
      <c r="F19" s="124">
        <v>0.0</v>
      </c>
      <c r="G19" s="124">
        <f t="shared" si="1"/>
        <v>135</v>
      </c>
      <c r="K19" s="36"/>
    </row>
    <row r="20">
      <c r="B20" s="112">
        <v>45848.0</v>
      </c>
      <c r="C20" s="113" t="s">
        <v>73</v>
      </c>
      <c r="D20" s="113">
        <v>21.0</v>
      </c>
      <c r="E20" s="124">
        <v>13.26</v>
      </c>
      <c r="F20" s="124">
        <v>0.0</v>
      </c>
      <c r="G20" s="124">
        <f t="shared" si="1"/>
        <v>278.46</v>
      </c>
      <c r="K20" s="36"/>
    </row>
    <row r="21">
      <c r="B21" s="128">
        <v>45922.0</v>
      </c>
      <c r="C21" s="113" t="s">
        <v>73</v>
      </c>
      <c r="D21" s="127">
        <v>21.0</v>
      </c>
      <c r="E21" s="124">
        <v>12.4</v>
      </c>
      <c r="F21" s="124">
        <v>0.0</v>
      </c>
      <c r="G21" s="124">
        <f t="shared" si="1"/>
        <v>260.4</v>
      </c>
      <c r="K21" s="36"/>
    </row>
    <row r="22">
      <c r="B22" s="112">
        <v>45939.0</v>
      </c>
      <c r="C22" s="113" t="s">
        <v>73</v>
      </c>
      <c r="D22" s="113">
        <v>22.0</v>
      </c>
      <c r="E22" s="124">
        <v>11.79</v>
      </c>
      <c r="F22" s="124">
        <v>0.0</v>
      </c>
      <c r="G22" s="124">
        <f t="shared" si="1"/>
        <v>259.38</v>
      </c>
      <c r="K22" s="36"/>
    </row>
    <row r="23">
      <c r="B23" s="112">
        <v>46000.0</v>
      </c>
      <c r="C23" s="113" t="s">
        <v>73</v>
      </c>
      <c r="D23" s="113">
        <v>17.0</v>
      </c>
      <c r="E23" s="124">
        <v>13.62</v>
      </c>
      <c r="F23" s="124">
        <v>0.0</v>
      </c>
      <c r="G23" s="124">
        <f t="shared" si="1"/>
        <v>231.54</v>
      </c>
      <c r="K23" s="36"/>
    </row>
    <row r="24">
      <c r="B24" s="112">
        <v>46051.0</v>
      </c>
      <c r="C24" s="113" t="s">
        <v>73</v>
      </c>
      <c r="D24" s="113">
        <v>18.0</v>
      </c>
      <c r="E24" s="124">
        <v>14.71</v>
      </c>
      <c r="F24" s="124">
        <v>0.0</v>
      </c>
      <c r="G24" s="124">
        <f t="shared" si="1"/>
        <v>264.78</v>
      </c>
      <c r="K24" s="36"/>
    </row>
    <row r="25">
      <c r="B25" s="129">
        <v>46087.0</v>
      </c>
      <c r="C25" s="113" t="s">
        <v>73</v>
      </c>
      <c r="D25" s="126">
        <v>22.0</v>
      </c>
      <c r="E25" s="124">
        <v>15.27</v>
      </c>
      <c r="F25" s="124">
        <v>0.0</v>
      </c>
      <c r="G25" s="124">
        <f t="shared" si="1"/>
        <v>335.94</v>
      </c>
      <c r="K25" s="36"/>
    </row>
    <row r="26">
      <c r="B26" s="129">
        <v>46205.0</v>
      </c>
      <c r="C26" s="113" t="s">
        <v>73</v>
      </c>
      <c r="D26" s="126">
        <v>21.0</v>
      </c>
      <c r="E26" s="124">
        <v>16.4</v>
      </c>
      <c r="F26" s="124">
        <v>0.0</v>
      </c>
      <c r="G26" s="124">
        <f t="shared" si="1"/>
        <v>344.4</v>
      </c>
      <c r="K26" s="36"/>
    </row>
    <row r="27">
      <c r="B27" s="129"/>
      <c r="C27" s="113"/>
      <c r="D27" s="126"/>
      <c r="E27" s="124"/>
      <c r="F27" s="124"/>
      <c r="G27" s="124"/>
      <c r="K27" s="36"/>
    </row>
    <row r="28">
      <c r="B28" s="129"/>
      <c r="C28" s="113"/>
      <c r="D28" s="126"/>
      <c r="E28" s="124"/>
      <c r="F28" s="124"/>
      <c r="G28" s="124"/>
      <c r="K28" s="36"/>
    </row>
    <row r="29">
      <c r="B29" s="129"/>
      <c r="C29" s="113"/>
      <c r="D29" s="126"/>
      <c r="E29" s="124"/>
      <c r="F29" s="124"/>
      <c r="G29" s="124"/>
      <c r="K29" s="36"/>
    </row>
    <row r="30">
      <c r="B30" s="128"/>
      <c r="C30" s="113"/>
      <c r="D30" s="127"/>
      <c r="E30" s="124"/>
      <c r="F30" s="124"/>
      <c r="G30" s="124"/>
      <c r="H30" s="40"/>
      <c r="I30" s="40"/>
      <c r="J30" s="40"/>
      <c r="K30" s="41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7.38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93</v>
      </c>
      <c r="D2" s="3" t="s">
        <v>24</v>
      </c>
      <c r="E2" s="5"/>
      <c r="F2" s="132" t="s">
        <v>94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112">
        <v>44627.0</v>
      </c>
      <c r="C4" s="113" t="s">
        <v>95</v>
      </c>
      <c r="D4" s="113">
        <v>0.00816</v>
      </c>
      <c r="E4" s="124">
        <v>195432.0</v>
      </c>
      <c r="F4" s="124">
        <v>0.0</v>
      </c>
      <c r="G4" s="125">
        <f t="shared" ref="G4:G5" si="1">E4*D4</f>
        <v>1594.72512</v>
      </c>
      <c r="H4" s="32" t="str">
        <f>IFERROR(__xludf.DUMMYFUNCTION("IF(C2="""","""",SPARKLINE(GOOGLEFINANCE(C2,""price"",TODAY()-K4,TODAY())))"),"")</f>
        <v/>
      </c>
      <c r="K4" s="33">
        <v>120.0</v>
      </c>
    </row>
    <row r="5">
      <c r="B5" s="112">
        <v>44630.0</v>
      </c>
      <c r="C5" s="113" t="s">
        <v>95</v>
      </c>
      <c r="D5" s="113">
        <v>0.00100938</v>
      </c>
      <c r="E5" s="124">
        <v>198140.1</v>
      </c>
      <c r="F5" s="124">
        <v>0.0</v>
      </c>
      <c r="G5" s="125">
        <f t="shared" si="1"/>
        <v>199.9986541</v>
      </c>
      <c r="K5" s="34"/>
    </row>
    <row r="6">
      <c r="B6" s="112">
        <v>44718.0</v>
      </c>
      <c r="C6" s="113" t="s">
        <v>47</v>
      </c>
      <c r="D6" s="31">
        <v>0.009169380000000001</v>
      </c>
      <c r="E6" s="124">
        <v>150000.0</v>
      </c>
      <c r="F6" s="124">
        <v>9.71</v>
      </c>
      <c r="G6" s="124">
        <v>1378.06</v>
      </c>
      <c r="H6" s="15"/>
      <c r="I6" s="15"/>
      <c r="J6" s="15"/>
      <c r="K6" s="34"/>
    </row>
    <row r="7">
      <c r="B7" s="112">
        <v>44743.0</v>
      </c>
      <c r="C7" s="113" t="s">
        <v>95</v>
      </c>
      <c r="D7" s="113">
        <v>0.00239625</v>
      </c>
      <c r="E7" s="124">
        <v>103599.09</v>
      </c>
      <c r="F7" s="124">
        <v>0.0</v>
      </c>
      <c r="G7" s="124">
        <f t="shared" ref="G7:G11" si="2">E7*D7</f>
        <v>248.2493194</v>
      </c>
      <c r="K7" s="35"/>
    </row>
    <row r="8">
      <c r="B8" s="116">
        <v>45945.0</v>
      </c>
      <c r="C8" s="113" t="s">
        <v>95</v>
      </c>
      <c r="D8" s="113">
        <v>4.8698E-4</v>
      </c>
      <c r="E8" s="124">
        <v>616041.7265591</v>
      </c>
      <c r="F8" s="124">
        <v>0.0</v>
      </c>
      <c r="G8" s="125">
        <f t="shared" si="2"/>
        <v>300</v>
      </c>
      <c r="K8" s="36"/>
    </row>
    <row r="9">
      <c r="B9" s="116">
        <v>45945.0</v>
      </c>
      <c r="C9" s="113" t="s">
        <v>95</v>
      </c>
      <c r="D9" s="113">
        <v>9.4831E-4</v>
      </c>
      <c r="E9" s="124">
        <v>616041.7265591</v>
      </c>
      <c r="F9" s="124">
        <v>0.0</v>
      </c>
      <c r="G9" s="125">
        <f t="shared" si="2"/>
        <v>584.1985297</v>
      </c>
      <c r="K9" s="36"/>
    </row>
    <row r="10">
      <c r="B10" s="112">
        <v>46051.0</v>
      </c>
      <c r="C10" s="113" t="s">
        <v>95</v>
      </c>
      <c r="D10" s="113">
        <v>0.00187658</v>
      </c>
      <c r="E10" s="124">
        <v>443892.6</v>
      </c>
      <c r="F10" s="124">
        <v>0.0</v>
      </c>
      <c r="G10" s="125">
        <f t="shared" si="2"/>
        <v>832.9999753</v>
      </c>
      <c r="I10" s="25" t="s">
        <v>32</v>
      </c>
      <c r="J10" s="32">
        <f>SUMIFS(D4:D21,C4:C21,"COMPRA")</f>
        <v>0.01680867</v>
      </c>
      <c r="K10" s="36"/>
    </row>
    <row r="11">
      <c r="B11" s="112">
        <v>46087.0</v>
      </c>
      <c r="C11" s="113" t="s">
        <v>95</v>
      </c>
      <c r="D11" s="31">
        <v>0.0019311699999999998</v>
      </c>
      <c r="E11" s="124">
        <v>363352.88</v>
      </c>
      <c r="F11" s="124">
        <v>0.0</v>
      </c>
      <c r="G11" s="125">
        <f t="shared" si="2"/>
        <v>701.6961813</v>
      </c>
      <c r="I11" s="25" t="s">
        <v>33</v>
      </c>
      <c r="J11" s="32">
        <f>SUMIFS(D4:D21,C4:C21,"VENDA")</f>
        <v>0.00916938</v>
      </c>
      <c r="K11" s="36"/>
    </row>
    <row r="12">
      <c r="B12" s="30"/>
      <c r="C12" s="31"/>
      <c r="D12" s="113"/>
      <c r="E12" s="31"/>
      <c r="F12" s="31"/>
      <c r="G12" s="31"/>
      <c r="I12" s="25" t="s">
        <v>34</v>
      </c>
      <c r="J12" s="32">
        <f>J10-J11</f>
        <v>0.00763929</v>
      </c>
      <c r="K12" s="36"/>
    </row>
    <row r="13">
      <c r="B13" s="30"/>
      <c r="C13" s="31"/>
      <c r="D13" s="31"/>
      <c r="E13" s="31"/>
      <c r="F13" s="31"/>
      <c r="G13" s="31"/>
      <c r="I13" s="25" t="s">
        <v>35</v>
      </c>
      <c r="J13" s="37">
        <f>SUMIFS(G7:G21,C7:C21,"COMPRA")</f>
        <v>2667.144006</v>
      </c>
      <c r="K13" s="36"/>
    </row>
    <row r="14">
      <c r="B14" s="30"/>
      <c r="C14" s="31"/>
      <c r="D14" s="31"/>
      <c r="E14" s="31"/>
      <c r="F14" s="31"/>
      <c r="G14" s="31"/>
      <c r="I14" s="25" t="s">
        <v>36</v>
      </c>
      <c r="J14" s="37">
        <f>SUMIFS(G4:G21,C4:C21,"VENDA")</f>
        <v>1378.06</v>
      </c>
      <c r="K14" s="36"/>
    </row>
    <row r="15">
      <c r="B15" s="30"/>
      <c r="C15" s="31"/>
      <c r="D15" s="31"/>
      <c r="E15" s="31"/>
      <c r="F15" s="31"/>
      <c r="G15" s="31"/>
      <c r="I15" s="7" t="s">
        <v>37</v>
      </c>
      <c r="J15" s="37">
        <f>SUM(F4:F21)</f>
        <v>9.71</v>
      </c>
      <c r="K15" s="36"/>
    </row>
    <row r="16">
      <c r="B16" s="30"/>
      <c r="C16" s="31"/>
      <c r="D16" s="31"/>
      <c r="E16" s="31"/>
      <c r="F16" s="31"/>
      <c r="G16" s="31"/>
      <c r="I16" s="25" t="s">
        <v>10</v>
      </c>
      <c r="J16" s="37">
        <f>IF(J10&lt;&gt;0,((J13+J15)/J10),"")</f>
        <v>159254.3613</v>
      </c>
      <c r="K16" s="36"/>
    </row>
    <row r="17">
      <c r="B17" s="30"/>
      <c r="C17" s="31"/>
      <c r="D17" s="31"/>
      <c r="E17" s="31"/>
      <c r="F17" s="31"/>
      <c r="G17" s="31"/>
      <c r="K17" s="36"/>
    </row>
    <row r="18">
      <c r="B18" s="30"/>
      <c r="C18" s="31"/>
      <c r="D18" s="31"/>
      <c r="E18" s="31"/>
      <c r="F18" s="31"/>
      <c r="G18" s="31"/>
      <c r="K18" s="36"/>
    </row>
    <row r="19">
      <c r="B19" s="30"/>
      <c r="C19" s="31"/>
      <c r="D19" s="31"/>
      <c r="E19" s="31"/>
      <c r="F19" s="31"/>
      <c r="G19" s="31"/>
      <c r="K19" s="36"/>
    </row>
    <row r="20">
      <c r="B20" s="30"/>
      <c r="C20" s="31"/>
      <c r="D20" s="31"/>
      <c r="E20" s="31"/>
      <c r="F20" s="31"/>
      <c r="G20" s="31"/>
      <c r="K20" s="36"/>
    </row>
    <row r="21">
      <c r="B21" s="38"/>
      <c r="C21" s="39"/>
      <c r="D21" s="39"/>
      <c r="E21" s="39"/>
      <c r="F21" s="39"/>
      <c r="G21" s="39"/>
      <c r="H21" s="40"/>
      <c r="I21" s="40"/>
      <c r="J21" s="40"/>
      <c r="K21" s="41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96</v>
      </c>
      <c r="D2" s="3" t="s">
        <v>24</v>
      </c>
      <c r="E2" s="5"/>
      <c r="F2" s="132" t="s">
        <v>97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112">
        <v>44625.0</v>
      </c>
      <c r="C4" s="113" t="s">
        <v>95</v>
      </c>
      <c r="D4" s="113">
        <v>0.12712</v>
      </c>
      <c r="E4" s="124">
        <v>12872.99</v>
      </c>
      <c r="F4" s="124">
        <v>0.0</v>
      </c>
      <c r="G4" s="125">
        <f t="shared" ref="G4:G5" si="1">E4*D4</f>
        <v>1636.414489</v>
      </c>
      <c r="H4" s="32" t="str">
        <f>IFERROR(__xludf.DUMMYFUNCTION("IF(C2="""","""",SPARKLINE(GOOGLEFINANCE(C2,""price"",TODAY()-K4,TODAY())))"),"")</f>
        <v/>
      </c>
      <c r="K4" s="33">
        <v>60.0</v>
      </c>
    </row>
    <row r="5">
      <c r="B5" s="112">
        <v>44630.0</v>
      </c>
      <c r="C5" s="113" t="s">
        <v>95</v>
      </c>
      <c r="D5" s="113">
        <f>0.01519757</f>
        <v>0.01519757</v>
      </c>
      <c r="E5" s="124">
        <v>13159.98</v>
      </c>
      <c r="F5" s="125">
        <f>0.0001*E5</f>
        <v>1.315998</v>
      </c>
      <c r="G5" s="125">
        <f t="shared" si="1"/>
        <v>199.9997172</v>
      </c>
      <c r="K5" s="34"/>
    </row>
    <row r="6">
      <c r="B6" s="112">
        <v>44718.0</v>
      </c>
      <c r="C6" s="113" t="s">
        <v>47</v>
      </c>
      <c r="D6" s="31">
        <v>0.14231757</v>
      </c>
      <c r="E6" s="124">
        <v>9125.77</v>
      </c>
      <c r="F6" s="124">
        <v>8.98</v>
      </c>
      <c r="G6" s="124">
        <v>1274.89</v>
      </c>
      <c r="H6" s="15"/>
      <c r="I6" s="15"/>
      <c r="J6" s="15"/>
      <c r="K6" s="34"/>
    </row>
    <row r="7">
      <c r="B7" s="112">
        <v>44743.0</v>
      </c>
      <c r="C7" s="113" t="s">
        <v>95</v>
      </c>
      <c r="D7" s="113">
        <f>0.04348664-0.00055</f>
        <v>0.04293664</v>
      </c>
      <c r="E7" s="124">
        <v>5708.64</v>
      </c>
      <c r="F7" s="124">
        <v>1.71</v>
      </c>
      <c r="G7" s="125">
        <f t="shared" ref="G7:G10" si="2">E7*D7</f>
        <v>245.1098206</v>
      </c>
      <c r="K7" s="35"/>
    </row>
    <row r="8">
      <c r="B8" s="116">
        <v>45945.0</v>
      </c>
      <c r="C8" s="113" t="s">
        <v>95</v>
      </c>
      <c r="D8" s="113">
        <v>0.0088633</v>
      </c>
      <c r="E8" s="124">
        <v>22565.0</v>
      </c>
      <c r="F8" s="124">
        <v>0.0</v>
      </c>
      <c r="G8" s="125">
        <f t="shared" si="2"/>
        <v>200.0003645</v>
      </c>
      <c r="K8" s="36"/>
    </row>
    <row r="9">
      <c r="B9" s="112">
        <v>46051.0</v>
      </c>
      <c r="C9" s="113" t="s">
        <v>95</v>
      </c>
      <c r="D9" s="113">
        <v>0.05626566</v>
      </c>
      <c r="E9" s="124">
        <v>14804.8</v>
      </c>
      <c r="F9" s="124">
        <v>0.0</v>
      </c>
      <c r="G9" s="125">
        <f t="shared" si="2"/>
        <v>833.0018432</v>
      </c>
      <c r="K9" s="36"/>
    </row>
    <row r="10">
      <c r="B10" s="112">
        <v>46087.0</v>
      </c>
      <c r="C10" s="113" t="s">
        <v>73</v>
      </c>
      <c r="D10" s="133">
        <v>0.06630408</v>
      </c>
      <c r="E10" s="124">
        <v>10528.76</v>
      </c>
      <c r="F10" s="124">
        <v>1.9</v>
      </c>
      <c r="G10" s="125">
        <f t="shared" si="2"/>
        <v>698.0997453</v>
      </c>
      <c r="I10" s="25" t="s">
        <v>32</v>
      </c>
      <c r="J10" s="32">
        <f>SUMIFS(D4:D21,C4:C21,"COMPRA")</f>
        <v>0.31668725</v>
      </c>
      <c r="K10" s="36"/>
    </row>
    <row r="11">
      <c r="B11" s="30"/>
      <c r="C11" s="31"/>
      <c r="D11" s="31"/>
      <c r="E11" s="31"/>
      <c r="F11" s="31"/>
      <c r="G11" s="31"/>
      <c r="I11" s="25" t="s">
        <v>33</v>
      </c>
      <c r="J11" s="32">
        <f>SUMIFS(D4:D21,C4:C21,"VENDA")</f>
        <v>0.14231757</v>
      </c>
      <c r="K11" s="36"/>
    </row>
    <row r="12">
      <c r="B12" s="30"/>
      <c r="C12" s="31"/>
      <c r="D12" s="31"/>
      <c r="E12" s="31"/>
      <c r="F12" s="31"/>
      <c r="G12" s="31"/>
      <c r="I12" s="25" t="s">
        <v>34</v>
      </c>
      <c r="J12" s="32">
        <f>J10-J11</f>
        <v>0.17436968</v>
      </c>
      <c r="K12" s="36"/>
    </row>
    <row r="13">
      <c r="B13" s="30"/>
      <c r="C13" s="31"/>
      <c r="D13" s="31"/>
      <c r="E13" s="31"/>
      <c r="F13" s="31"/>
      <c r="G13" s="31"/>
      <c r="I13" s="25" t="s">
        <v>35</v>
      </c>
      <c r="J13" s="37">
        <f>SUMIFS(G7:G21,C7:C21,"COMPRA")</f>
        <v>1976.211774</v>
      </c>
      <c r="K13" s="36"/>
    </row>
    <row r="14">
      <c r="B14" s="30"/>
      <c r="C14" s="31"/>
      <c r="D14" s="31"/>
      <c r="E14" s="31"/>
      <c r="F14" s="31"/>
      <c r="G14" s="31"/>
      <c r="I14" s="25" t="s">
        <v>36</v>
      </c>
      <c r="J14" s="37">
        <f>SUMIFS(G4:G21,C4:C21,"VENDA")</f>
        <v>1274.89</v>
      </c>
      <c r="K14" s="36"/>
    </row>
    <row r="15">
      <c r="B15" s="30"/>
      <c r="C15" s="31"/>
      <c r="D15" s="31"/>
      <c r="E15" s="31"/>
      <c r="F15" s="31"/>
      <c r="G15" s="31"/>
      <c r="I15" s="7" t="s">
        <v>37</v>
      </c>
      <c r="J15" s="37">
        <f>SUM(F4:F21)</f>
        <v>13.905998</v>
      </c>
      <c r="K15" s="36"/>
    </row>
    <row r="16">
      <c r="B16" s="30"/>
      <c r="C16" s="31"/>
      <c r="D16" s="31"/>
      <c r="E16" s="31"/>
      <c r="F16" s="31"/>
      <c r="G16" s="31"/>
      <c r="I16" s="25" t="s">
        <v>10</v>
      </c>
      <c r="J16" s="37">
        <f>IF(J10&lt;&gt;0,((J13+J15)/J10),"")</f>
        <v>6284.173965</v>
      </c>
      <c r="K16" s="36"/>
    </row>
    <row r="17">
      <c r="B17" s="30"/>
      <c r="C17" s="31"/>
      <c r="D17" s="31"/>
      <c r="E17" s="31"/>
      <c r="F17" s="31"/>
      <c r="G17" s="31"/>
      <c r="K17" s="36"/>
    </row>
    <row r="18">
      <c r="B18" s="30"/>
      <c r="C18" s="31"/>
      <c r="D18" s="31"/>
      <c r="E18" s="31"/>
      <c r="F18" s="31"/>
      <c r="G18" s="31"/>
      <c r="K18" s="36"/>
    </row>
    <row r="19">
      <c r="B19" s="30"/>
      <c r="C19" s="31"/>
      <c r="D19" s="31"/>
      <c r="E19" s="31"/>
      <c r="F19" s="31"/>
      <c r="G19" s="31"/>
      <c r="K19" s="36"/>
    </row>
    <row r="20">
      <c r="B20" s="30"/>
      <c r="C20" s="31"/>
      <c r="D20" s="31"/>
      <c r="E20" s="31"/>
      <c r="F20" s="31"/>
      <c r="G20" s="31"/>
      <c r="K20" s="36"/>
    </row>
    <row r="21">
      <c r="B21" s="38"/>
      <c r="C21" s="39"/>
      <c r="D21" s="39"/>
      <c r="E21" s="39"/>
      <c r="F21" s="39"/>
      <c r="G21" s="39"/>
      <c r="H21" s="40"/>
      <c r="I21" s="40"/>
      <c r="J21" s="40"/>
      <c r="K21" s="41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2.75"/>
    <col customWidth="1" min="5" max="5" width="11.63"/>
    <col customWidth="1" min="6" max="6" width="24.75"/>
    <col customWidth="1" min="7" max="7" width="15.38"/>
    <col customWidth="1" min="8" max="8" width="7.63"/>
    <col customWidth="1" min="9" max="9" width="19.38"/>
    <col customWidth="1" min="10" max="10" width="13.0"/>
    <col customWidth="1" min="11" max="11" width="8.25"/>
  </cols>
  <sheetData>
    <row r="1" ht="11.25" customHeight="1"/>
    <row r="2" ht="36.0" customHeight="1">
      <c r="B2" s="17" t="s">
        <v>22</v>
      </c>
      <c r="C2" s="19" t="s">
        <v>51</v>
      </c>
      <c r="D2" s="3" t="s">
        <v>24</v>
      </c>
      <c r="E2" s="5"/>
      <c r="F2" s="21" t="str">
        <f>IFERROR(__xludf.DUMMYFUNCTION("IF(C2="""","""",GOOGLEFINANCE(C2,""Name""))"),"#N/A")</f>
        <v>#N/A</v>
      </c>
      <c r="G2" s="22"/>
      <c r="H2" s="22"/>
      <c r="I2" s="22"/>
      <c r="J2" s="22"/>
      <c r="K2" s="23"/>
    </row>
    <row r="3">
      <c r="B3" s="24" t="s">
        <v>25</v>
      </c>
      <c r="C3" s="25" t="s">
        <v>26</v>
      </c>
      <c r="D3" s="25" t="s">
        <v>9</v>
      </c>
      <c r="E3" s="25" t="s">
        <v>27</v>
      </c>
      <c r="F3" s="25" t="s">
        <v>28</v>
      </c>
      <c r="G3" s="25" t="s">
        <v>29</v>
      </c>
      <c r="H3" s="26" t="s">
        <v>30</v>
      </c>
      <c r="I3" s="27"/>
      <c r="J3" s="28"/>
      <c r="K3" s="29" t="s">
        <v>31</v>
      </c>
    </row>
    <row r="4">
      <c r="B4" s="116">
        <v>45945.0</v>
      </c>
      <c r="C4" s="113" t="s">
        <v>73</v>
      </c>
      <c r="D4" s="113">
        <v>0.0214</v>
      </c>
      <c r="E4" s="124">
        <v>23031.76</v>
      </c>
      <c r="F4" s="125">
        <f>E4*0.0000214</f>
        <v>0.492879664</v>
      </c>
      <c r="G4" s="125">
        <f t="shared" ref="G4:G6" si="1">E4*D4</f>
        <v>492.879664</v>
      </c>
      <c r="H4" s="32" t="str">
        <f>IFERROR(__xludf.DUMMYFUNCTION("IF(C2="""","""",SPARKLINE(GOOGLEFINANCE(C2,""price"",TODAY()-K4,TODAY())))"),"#N/A")</f>
        <v>#N/A</v>
      </c>
      <c r="K4" s="33">
        <v>30.0</v>
      </c>
    </row>
    <row r="5">
      <c r="B5" s="112">
        <v>46051.0</v>
      </c>
      <c r="C5" s="113" t="s">
        <v>73</v>
      </c>
      <c r="D5" s="113">
        <v>0.02939708</v>
      </c>
      <c r="E5" s="124">
        <v>28224.768</v>
      </c>
      <c r="F5" s="125">
        <v>0.0</v>
      </c>
      <c r="G5" s="125">
        <f t="shared" si="1"/>
        <v>829.7257629</v>
      </c>
      <c r="K5" s="34"/>
    </row>
    <row r="6">
      <c r="B6" s="112">
        <v>46087.0</v>
      </c>
      <c r="C6" s="113" t="s">
        <v>73</v>
      </c>
      <c r="D6" s="113">
        <v>0.0217</v>
      </c>
      <c r="E6" s="124">
        <v>27188.64</v>
      </c>
      <c r="F6" s="125">
        <v>0.0</v>
      </c>
      <c r="G6" s="125">
        <f t="shared" si="1"/>
        <v>589.993488</v>
      </c>
      <c r="H6" s="15"/>
      <c r="I6" s="15"/>
      <c r="J6" s="15"/>
      <c r="K6" s="34"/>
    </row>
    <row r="7">
      <c r="B7" s="30"/>
      <c r="C7" s="113"/>
      <c r="D7" s="31"/>
      <c r="E7" s="31"/>
      <c r="F7" s="31"/>
      <c r="G7" s="31"/>
      <c r="K7" s="35"/>
    </row>
    <row r="8">
      <c r="B8" s="30"/>
      <c r="C8" s="31"/>
      <c r="D8" s="31"/>
      <c r="E8" s="31"/>
      <c r="F8" s="31"/>
      <c r="G8" s="31"/>
      <c r="K8" s="36"/>
    </row>
    <row r="9">
      <c r="B9" s="30"/>
      <c r="C9" s="31"/>
      <c r="D9" s="31"/>
      <c r="E9" s="31"/>
      <c r="F9" s="31"/>
      <c r="G9" s="31"/>
      <c r="K9" s="36"/>
    </row>
    <row r="10">
      <c r="B10" s="30"/>
      <c r="C10" s="31"/>
      <c r="D10" s="31"/>
      <c r="E10" s="31"/>
      <c r="F10" s="31"/>
      <c r="G10" s="31"/>
      <c r="I10" s="25" t="s">
        <v>32</v>
      </c>
      <c r="J10" s="32">
        <f>SUMIFS(D4:D21,C4:C21,"COMPRA")</f>
        <v>0.07249708</v>
      </c>
      <c r="K10" s="36"/>
    </row>
    <row r="11">
      <c r="B11" s="30"/>
      <c r="C11" s="31"/>
      <c r="D11" s="31"/>
      <c r="E11" s="31"/>
      <c r="F11" s="31"/>
      <c r="G11" s="31"/>
      <c r="I11" s="25" t="s">
        <v>33</v>
      </c>
      <c r="J11" s="32">
        <f>SUMIFS(D4:D21,C4:C21,"VENDA")</f>
        <v>0</v>
      </c>
      <c r="K11" s="36"/>
    </row>
    <row r="12">
      <c r="B12" s="30"/>
      <c r="C12" s="31"/>
      <c r="D12" s="31"/>
      <c r="E12" s="31"/>
      <c r="F12" s="31"/>
      <c r="G12" s="31"/>
      <c r="I12" s="25" t="s">
        <v>34</v>
      </c>
      <c r="J12" s="32">
        <f>J10-J11</f>
        <v>0.07249708</v>
      </c>
      <c r="K12" s="36"/>
    </row>
    <row r="13">
      <c r="B13" s="30"/>
      <c r="C13" s="31"/>
      <c r="D13" s="31"/>
      <c r="E13" s="31"/>
      <c r="F13" s="31"/>
      <c r="G13" s="31"/>
      <c r="I13" s="25" t="s">
        <v>35</v>
      </c>
      <c r="J13" s="37">
        <f>SUMIFS(G4:G21,C4:C21,"COMPRA")</f>
        <v>1912.598915</v>
      </c>
      <c r="K13" s="36"/>
    </row>
    <row r="14">
      <c r="B14" s="30"/>
      <c r="C14" s="31"/>
      <c r="D14" s="31"/>
      <c r="E14" s="31"/>
      <c r="F14" s="31"/>
      <c r="G14" s="31"/>
      <c r="I14" s="25" t="s">
        <v>36</v>
      </c>
      <c r="J14" s="37">
        <f>SUMIFS(E4:E21,C4:C21,"VENDA")</f>
        <v>0</v>
      </c>
      <c r="K14" s="36"/>
    </row>
    <row r="15">
      <c r="B15" s="30"/>
      <c r="C15" s="31"/>
      <c r="D15" s="31"/>
      <c r="E15" s="31"/>
      <c r="F15" s="31"/>
      <c r="G15" s="31"/>
      <c r="I15" s="7" t="s">
        <v>37</v>
      </c>
      <c r="J15" s="37">
        <f>SUM(F4:F21)</f>
        <v>0.492879664</v>
      </c>
      <c r="K15" s="36"/>
    </row>
    <row r="16">
      <c r="B16" s="30"/>
      <c r="C16" s="31"/>
      <c r="D16" s="31"/>
      <c r="E16" s="31"/>
      <c r="F16" s="31"/>
      <c r="G16" s="31"/>
      <c r="I16" s="25" t="s">
        <v>10</v>
      </c>
      <c r="J16" s="37">
        <f>IF(J10&lt;&gt;0,((J13+J15)/J10),"")</f>
        <v>26388.53585</v>
      </c>
      <c r="K16" s="36"/>
    </row>
    <row r="17">
      <c r="B17" s="30"/>
      <c r="C17" s="31"/>
      <c r="D17" s="31"/>
      <c r="E17" s="31"/>
      <c r="F17" s="31"/>
      <c r="G17" s="31"/>
      <c r="K17" s="36"/>
    </row>
    <row r="18">
      <c r="B18" s="30"/>
      <c r="C18" s="31"/>
      <c r="D18" s="31"/>
      <c r="E18" s="31"/>
      <c r="F18" s="31"/>
      <c r="G18" s="31"/>
      <c r="K18" s="36"/>
    </row>
    <row r="19">
      <c r="B19" s="30"/>
      <c r="C19" s="31"/>
      <c r="D19" s="31"/>
      <c r="E19" s="31"/>
      <c r="F19" s="31"/>
      <c r="G19" s="31"/>
      <c r="K19" s="36"/>
    </row>
    <row r="20">
      <c r="B20" s="30"/>
      <c r="C20" s="31"/>
      <c r="D20" s="31"/>
      <c r="E20" s="31"/>
      <c r="F20" s="31"/>
      <c r="G20" s="31"/>
      <c r="K20" s="36"/>
    </row>
    <row r="21">
      <c r="B21" s="38"/>
      <c r="C21" s="39"/>
      <c r="D21" s="39"/>
      <c r="E21" s="39"/>
      <c r="F21" s="39"/>
      <c r="G21" s="39"/>
      <c r="H21" s="40"/>
      <c r="I21" s="40"/>
      <c r="J21" s="40"/>
      <c r="K21" s="41"/>
    </row>
  </sheetData>
  <mergeCells count="4">
    <mergeCell ref="D2:E2"/>
    <mergeCell ref="H3:J3"/>
    <mergeCell ref="H4:J6"/>
    <mergeCell ref="K4:K6"/>
  </mergeCells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6.13"/>
    <col customWidth="1" min="5" max="5" width="12.5"/>
    <col customWidth="1" min="6" max="6" width="19.38"/>
    <col customWidth="1" min="8" max="8" width="8.88"/>
    <col customWidth="1" min="9" max="9" width="19.38"/>
  </cols>
  <sheetData>
    <row r="1" ht="11.25" customHeight="1"/>
    <row r="2" ht="36.0" customHeight="1">
      <c r="B2" s="134" t="s">
        <v>22</v>
      </c>
      <c r="C2" s="19" t="s">
        <v>99</v>
      </c>
      <c r="D2" s="135" t="s">
        <v>100</v>
      </c>
      <c r="E2" s="21" t="str">
        <f>IF(C2="","",VLOOKUP(C2,DB!A2:B1655,2,0))</f>
        <v>Tesouro Selic 2025</v>
      </c>
      <c r="F2" s="4"/>
      <c r="G2" s="96"/>
    </row>
    <row r="3">
      <c r="B3" s="24" t="s">
        <v>25</v>
      </c>
      <c r="C3" s="25" t="s">
        <v>26</v>
      </c>
      <c r="D3" s="7" t="s">
        <v>29</v>
      </c>
      <c r="I3" s="136" t="s">
        <v>101</v>
      </c>
      <c r="J3" s="139">
        <f>SUM(D4:D21)</f>
        <v>-887.28</v>
      </c>
    </row>
    <row r="4">
      <c r="B4" s="138">
        <v>44630.0</v>
      </c>
      <c r="C4" s="140" t="s">
        <v>73</v>
      </c>
      <c r="D4" s="141">
        <v>14958.74</v>
      </c>
      <c r="I4" s="97" t="s">
        <v>6</v>
      </c>
      <c r="J4" s="137">
        <v>4195.74</v>
      </c>
    </row>
    <row r="5">
      <c r="B5" s="142">
        <v>44743.0</v>
      </c>
      <c r="C5" s="143" t="s">
        <v>73</v>
      </c>
      <c r="D5" s="144">
        <v>3900.28</v>
      </c>
      <c r="H5" s="145"/>
      <c r="I5" s="97" t="s">
        <v>103</v>
      </c>
      <c r="J5" s="146">
        <f>J4-J3</f>
        <v>5083.02</v>
      </c>
    </row>
    <row r="6">
      <c r="B6" s="138">
        <v>44806.0</v>
      </c>
      <c r="C6" s="140" t="s">
        <v>104</v>
      </c>
      <c r="D6" s="141">
        <v>-800.0</v>
      </c>
      <c r="H6" s="145"/>
      <c r="I6" s="147" t="s">
        <v>8</v>
      </c>
      <c r="J6" s="148">
        <f>IF(J4="","",(J5/J3))</f>
        <v>-5.728766567</v>
      </c>
    </row>
    <row r="7">
      <c r="B7" s="142">
        <v>44841.0</v>
      </c>
      <c r="C7" s="143" t="s">
        <v>73</v>
      </c>
      <c r="D7" s="144">
        <v>3921.14</v>
      </c>
      <c r="H7" s="145"/>
    </row>
    <row r="8">
      <c r="B8" s="138">
        <v>44997.0</v>
      </c>
      <c r="C8" s="140" t="s">
        <v>73</v>
      </c>
      <c r="D8" s="141">
        <v>3571.89</v>
      </c>
      <c r="H8" s="145"/>
    </row>
    <row r="9">
      <c r="B9" s="142">
        <v>45168.0</v>
      </c>
      <c r="C9" s="143" t="s">
        <v>104</v>
      </c>
      <c r="D9" s="144">
        <v>-22243.59</v>
      </c>
      <c r="H9" s="145"/>
    </row>
    <row r="10">
      <c r="B10" s="155">
        <v>45595.0</v>
      </c>
      <c r="C10" s="140" t="s">
        <v>104</v>
      </c>
      <c r="D10" s="141">
        <v>-4195.74</v>
      </c>
      <c r="H10" s="145"/>
    </row>
    <row r="11">
      <c r="B11" s="149"/>
      <c r="C11" s="150"/>
      <c r="D11" s="151"/>
      <c r="H11" s="145"/>
      <c r="I11" s="37"/>
    </row>
    <row r="12">
      <c r="B12" s="152"/>
      <c r="C12" s="153"/>
      <c r="D12" s="154"/>
      <c r="H12" s="145"/>
    </row>
    <row r="13">
      <c r="B13" s="149"/>
      <c r="C13" s="150"/>
      <c r="D13" s="151"/>
      <c r="H13" s="145"/>
    </row>
    <row r="14">
      <c r="B14" s="152"/>
      <c r="C14" s="153"/>
      <c r="D14" s="154"/>
      <c r="H14" s="145"/>
    </row>
    <row r="15">
      <c r="B15" s="149"/>
      <c r="C15" s="150"/>
      <c r="D15" s="151"/>
      <c r="H15" s="145"/>
    </row>
    <row r="16">
      <c r="B16" s="152"/>
      <c r="C16" s="153"/>
      <c r="D16" s="154"/>
      <c r="H16" s="145"/>
    </row>
    <row r="17">
      <c r="B17" s="149"/>
      <c r="C17" s="150"/>
      <c r="D17" s="151"/>
      <c r="H17" s="145"/>
    </row>
    <row r="18">
      <c r="B18" s="152"/>
      <c r="C18" s="153"/>
      <c r="D18" s="154"/>
      <c r="H18" s="145"/>
    </row>
    <row r="19">
      <c r="B19" s="149"/>
      <c r="C19" s="150"/>
      <c r="D19" s="151"/>
      <c r="H19" s="145"/>
    </row>
    <row r="20">
      <c r="B20" s="152"/>
      <c r="C20" s="153"/>
      <c r="D20" s="154"/>
      <c r="H20" s="145"/>
    </row>
    <row r="21">
      <c r="B21" s="156"/>
      <c r="C21" s="157"/>
      <c r="D21" s="158"/>
      <c r="H21" s="145"/>
    </row>
    <row r="22">
      <c r="G22" s="145"/>
      <c r="H22" s="145"/>
    </row>
    <row r="23">
      <c r="G23" s="145"/>
      <c r="H23" s="145"/>
    </row>
    <row r="24">
      <c r="G24" s="145"/>
      <c r="H24" s="145"/>
    </row>
    <row r="25">
      <c r="G25" s="145"/>
      <c r="H25" s="145"/>
    </row>
  </sheetData>
  <mergeCells count="2">
    <mergeCell ref="E2:G2"/>
    <mergeCell ref="E3:G21"/>
  </mergeCells>
  <dataValidations>
    <dataValidation type="list" allowBlank="1" sqref="C2">
      <formula1>DB!$A$961:$A$982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6.13"/>
    <col customWidth="1" min="5" max="5" width="12.5"/>
    <col customWidth="1" min="6" max="6" width="19.38"/>
    <col customWidth="1" min="8" max="8" width="8.88"/>
    <col customWidth="1" min="9" max="9" width="19.38"/>
  </cols>
  <sheetData>
    <row r="1" ht="11.25" customHeight="1"/>
    <row r="2" ht="36.0" customHeight="1">
      <c r="B2" s="134" t="s">
        <v>22</v>
      </c>
      <c r="C2" s="19" t="s">
        <v>98</v>
      </c>
      <c r="D2" s="135" t="s">
        <v>100</v>
      </c>
      <c r="E2" s="21" t="str">
        <f>IF(C2="","",VLOOKUP(C2,DB!A2:B1655,2,0))</f>
        <v>Tesouro IPCA+ 2024</v>
      </c>
      <c r="F2" s="4"/>
      <c r="G2" s="96"/>
    </row>
    <row r="3">
      <c r="B3" s="24" t="s">
        <v>25</v>
      </c>
      <c r="C3" s="25" t="s">
        <v>26</v>
      </c>
      <c r="D3" s="7" t="s">
        <v>29</v>
      </c>
      <c r="I3" s="136" t="s">
        <v>101</v>
      </c>
      <c r="J3" s="137">
        <v>7467.31</v>
      </c>
    </row>
    <row r="4">
      <c r="B4" s="138">
        <v>44625.0</v>
      </c>
      <c r="C4" s="140" t="s">
        <v>95</v>
      </c>
      <c r="D4" s="141">
        <v>7467.31</v>
      </c>
      <c r="I4" s="97" t="s">
        <v>6</v>
      </c>
      <c r="J4" s="137">
        <v>0.0</v>
      </c>
    </row>
    <row r="5">
      <c r="B5" s="142">
        <v>45519.0</v>
      </c>
      <c r="C5" s="143" t="s">
        <v>102</v>
      </c>
      <c r="D5" s="144">
        <v>-10786.04</v>
      </c>
      <c r="H5" s="145"/>
      <c r="I5" s="97" t="s">
        <v>103</v>
      </c>
      <c r="J5" s="146">
        <f>J4-J3</f>
        <v>-7467.31</v>
      </c>
    </row>
    <row r="6">
      <c r="B6" s="138"/>
      <c r="C6" s="140"/>
      <c r="D6" s="141"/>
      <c r="H6" s="145"/>
      <c r="I6" s="147" t="s">
        <v>8</v>
      </c>
      <c r="J6" s="148">
        <f>IF(J4="","",(J5/J3))</f>
        <v>-1</v>
      </c>
    </row>
    <row r="7">
      <c r="B7" s="149"/>
      <c r="C7" s="150"/>
      <c r="D7" s="151"/>
      <c r="H7" s="145"/>
    </row>
    <row r="8">
      <c r="B8" s="152"/>
      <c r="C8" s="153"/>
      <c r="D8" s="154"/>
      <c r="H8" s="145"/>
    </row>
    <row r="9">
      <c r="B9" s="149"/>
      <c r="C9" s="150"/>
      <c r="D9" s="151"/>
      <c r="H9" s="145"/>
    </row>
    <row r="10">
      <c r="B10" s="152"/>
      <c r="C10" s="153"/>
      <c r="D10" s="154"/>
      <c r="H10" s="145"/>
    </row>
    <row r="11">
      <c r="B11" s="149"/>
      <c r="C11" s="150"/>
      <c r="D11" s="151"/>
      <c r="H11" s="145"/>
    </row>
    <row r="12">
      <c r="B12" s="152"/>
      <c r="C12" s="153"/>
      <c r="D12" s="154"/>
      <c r="H12" s="145"/>
    </row>
    <row r="13">
      <c r="B13" s="149"/>
      <c r="C13" s="150"/>
      <c r="D13" s="151"/>
      <c r="H13" s="145"/>
    </row>
    <row r="14">
      <c r="B14" s="152"/>
      <c r="C14" s="153"/>
      <c r="D14" s="154"/>
      <c r="H14" s="145"/>
    </row>
    <row r="15">
      <c r="B15" s="149"/>
      <c r="C15" s="150"/>
      <c r="D15" s="151"/>
      <c r="H15" s="145"/>
    </row>
    <row r="16">
      <c r="B16" s="152"/>
      <c r="C16" s="153"/>
      <c r="D16" s="154"/>
      <c r="H16" s="145"/>
    </row>
    <row r="17">
      <c r="B17" s="149"/>
      <c r="C17" s="150"/>
      <c r="D17" s="151"/>
      <c r="H17" s="145"/>
    </row>
    <row r="18">
      <c r="B18" s="152"/>
      <c r="C18" s="153"/>
      <c r="D18" s="154"/>
      <c r="H18" s="145"/>
    </row>
    <row r="19">
      <c r="B19" s="149"/>
      <c r="C19" s="150"/>
      <c r="D19" s="151"/>
      <c r="H19" s="145"/>
    </row>
    <row r="20">
      <c r="B20" s="152"/>
      <c r="C20" s="153"/>
      <c r="D20" s="154"/>
      <c r="H20" s="145"/>
    </row>
    <row r="21">
      <c r="B21" s="156"/>
      <c r="C21" s="157"/>
      <c r="D21" s="158"/>
      <c r="H21" s="145"/>
    </row>
    <row r="22">
      <c r="G22" s="145"/>
      <c r="H22" s="145"/>
    </row>
    <row r="23">
      <c r="G23" s="145"/>
      <c r="H23" s="145"/>
    </row>
    <row r="24">
      <c r="G24" s="145"/>
      <c r="H24" s="145"/>
    </row>
    <row r="25">
      <c r="G25" s="145"/>
      <c r="H25" s="145"/>
    </row>
  </sheetData>
  <mergeCells count="2">
    <mergeCell ref="E2:G2"/>
    <mergeCell ref="E3:G21"/>
  </mergeCells>
  <dataValidations>
    <dataValidation type="list" allowBlank="1" sqref="C2">
      <formula1>DB!$A$961:$A$982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6.13"/>
    <col customWidth="1" min="5" max="5" width="12.5"/>
    <col customWidth="1" min="6" max="6" width="19.38"/>
    <col customWidth="1" min="8" max="8" width="8.88"/>
    <col customWidth="1" min="9" max="9" width="19.38"/>
  </cols>
  <sheetData>
    <row r="1" ht="11.25" customHeight="1"/>
    <row r="2" ht="36.0" customHeight="1">
      <c r="B2" s="134" t="s">
        <v>22</v>
      </c>
      <c r="C2" s="19" t="s">
        <v>105</v>
      </c>
      <c r="D2" s="135" t="s">
        <v>100</v>
      </c>
      <c r="E2" s="21" t="str">
        <f>IF(C2="","",VLOOKUP(C2,DB!A2:B1655,2,0))</f>
        <v>Tesouro Selic 2027</v>
      </c>
      <c r="F2" s="4"/>
      <c r="G2" s="96"/>
    </row>
    <row r="3">
      <c r="B3" s="24" t="s">
        <v>25</v>
      </c>
      <c r="C3" s="25" t="s">
        <v>26</v>
      </c>
      <c r="D3" s="7" t="s">
        <v>29</v>
      </c>
      <c r="I3" s="136" t="s">
        <v>101</v>
      </c>
      <c r="J3" s="137">
        <f>SUM(D4:D21)</f>
        <v>29884.98</v>
      </c>
    </row>
    <row r="4">
      <c r="B4" s="138">
        <v>45453.0</v>
      </c>
      <c r="C4" s="140" t="s">
        <v>73</v>
      </c>
      <c r="D4" s="141">
        <v>3874.4</v>
      </c>
      <c r="I4" s="97" t="s">
        <v>6</v>
      </c>
      <c r="J4" s="137">
        <v>38297.07</v>
      </c>
    </row>
    <row r="5">
      <c r="B5" s="142">
        <v>45505.0</v>
      </c>
      <c r="C5" s="143" t="s">
        <v>73</v>
      </c>
      <c r="D5" s="144">
        <v>2118.54</v>
      </c>
      <c r="H5" s="145"/>
      <c r="I5" s="97" t="s">
        <v>103</v>
      </c>
      <c r="J5" s="146">
        <f>J4-J3</f>
        <v>8412.09</v>
      </c>
    </row>
    <row r="6">
      <c r="B6" s="138">
        <v>45551.0</v>
      </c>
      <c r="C6" s="140" t="s">
        <v>73</v>
      </c>
      <c r="D6" s="141">
        <v>1993.03</v>
      </c>
      <c r="H6" s="145"/>
      <c r="I6" s="147" t="s">
        <v>8</v>
      </c>
      <c r="J6" s="148">
        <f>IF(J4="","",(J5/J3))</f>
        <v>0.2814822028</v>
      </c>
    </row>
    <row r="7">
      <c r="B7" s="159">
        <v>45595.0</v>
      </c>
      <c r="C7" s="143" t="s">
        <v>73</v>
      </c>
      <c r="D7" s="144">
        <v>14911.43</v>
      </c>
      <c r="H7" s="145"/>
    </row>
    <row r="8">
      <c r="B8" s="155">
        <v>45595.0</v>
      </c>
      <c r="C8" s="140" t="s">
        <v>104</v>
      </c>
      <c r="D8" s="141">
        <v>-2018.79</v>
      </c>
      <c r="H8" s="145"/>
    </row>
    <row r="9">
      <c r="B9" s="142">
        <v>45628.0</v>
      </c>
      <c r="C9" s="143" t="s">
        <v>73</v>
      </c>
      <c r="D9" s="144">
        <v>2978.49</v>
      </c>
      <c r="H9" s="145"/>
    </row>
    <row r="10">
      <c r="B10" s="138">
        <v>45667.0</v>
      </c>
      <c r="C10" s="140" t="s">
        <v>73</v>
      </c>
      <c r="D10" s="141">
        <v>6027.88</v>
      </c>
      <c r="H10" s="145"/>
    </row>
    <row r="11">
      <c r="B11" s="149"/>
      <c r="C11" s="150"/>
      <c r="D11" s="151"/>
      <c r="H11" s="145"/>
    </row>
    <row r="12">
      <c r="B12" s="152"/>
      <c r="C12" s="153"/>
      <c r="D12" s="154"/>
      <c r="H12" s="145"/>
    </row>
    <row r="13">
      <c r="B13" s="149"/>
      <c r="C13" s="150"/>
      <c r="D13" s="151"/>
      <c r="H13" s="145"/>
    </row>
    <row r="14">
      <c r="B14" s="152"/>
      <c r="C14" s="153"/>
      <c r="D14" s="154"/>
      <c r="H14" s="145"/>
    </row>
    <row r="15">
      <c r="B15" s="149"/>
      <c r="C15" s="150"/>
      <c r="D15" s="151"/>
      <c r="H15" s="145"/>
    </row>
    <row r="16">
      <c r="B16" s="152"/>
      <c r="C16" s="153"/>
      <c r="D16" s="154"/>
      <c r="H16" s="145"/>
    </row>
    <row r="17">
      <c r="B17" s="149"/>
      <c r="C17" s="150"/>
      <c r="D17" s="151"/>
      <c r="H17" s="145"/>
    </row>
    <row r="18">
      <c r="B18" s="152"/>
      <c r="C18" s="153"/>
      <c r="D18" s="154"/>
      <c r="H18" s="145"/>
    </row>
    <row r="19">
      <c r="B19" s="149"/>
      <c r="C19" s="150"/>
      <c r="D19" s="151"/>
      <c r="H19" s="145"/>
    </row>
    <row r="20">
      <c r="B20" s="152"/>
      <c r="C20" s="153"/>
      <c r="D20" s="154"/>
      <c r="H20" s="145"/>
    </row>
    <row r="21">
      <c r="B21" s="156"/>
      <c r="C21" s="157"/>
      <c r="D21" s="158"/>
      <c r="H21" s="145"/>
    </row>
    <row r="22">
      <c r="G22" s="145"/>
      <c r="H22" s="145"/>
    </row>
    <row r="23">
      <c r="G23" s="145"/>
      <c r="H23" s="145"/>
    </row>
    <row r="24">
      <c r="G24" s="145"/>
      <c r="H24" s="145"/>
    </row>
    <row r="25">
      <c r="G25" s="145"/>
      <c r="H25" s="145"/>
    </row>
  </sheetData>
  <mergeCells count="2">
    <mergeCell ref="E2:G2"/>
    <mergeCell ref="E3:G21"/>
  </mergeCells>
  <dataValidations>
    <dataValidation type="list" allowBlank="1" sqref="C2">
      <formula1>DB!$A$961:$A$982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6.13"/>
    <col customWidth="1" min="5" max="5" width="12.5"/>
    <col customWidth="1" min="6" max="6" width="19.38"/>
    <col customWidth="1" min="8" max="8" width="8.88"/>
    <col customWidth="1" min="9" max="9" width="19.38"/>
  </cols>
  <sheetData>
    <row r="1" ht="11.25" customHeight="1"/>
    <row r="2" ht="36.0" customHeight="1">
      <c r="B2" s="134" t="s">
        <v>22</v>
      </c>
      <c r="C2" s="19" t="s">
        <v>106</v>
      </c>
      <c r="D2" s="135" t="s">
        <v>100</v>
      </c>
      <c r="E2" s="21" t="str">
        <f>IF(C2="","",VLOOKUP(C2,DB!A2:B1655,2,0))</f>
        <v>Tesouro Selic 2028</v>
      </c>
      <c r="F2" s="4"/>
      <c r="G2" s="96"/>
    </row>
    <row r="3">
      <c r="B3" s="24" t="s">
        <v>25</v>
      </c>
      <c r="C3" s="25" t="s">
        <v>26</v>
      </c>
      <c r="D3" s="7" t="s">
        <v>29</v>
      </c>
      <c r="I3" s="136" t="s">
        <v>101</v>
      </c>
      <c r="J3" s="137">
        <f>SUM(D4:D21)</f>
        <v>67343.78</v>
      </c>
    </row>
    <row r="4">
      <c r="B4" s="138">
        <v>45758.0</v>
      </c>
      <c r="C4" s="140" t="s">
        <v>73</v>
      </c>
      <c r="D4" s="141">
        <v>5395.72</v>
      </c>
      <c r="I4" s="97" t="s">
        <v>6</v>
      </c>
      <c r="J4" s="137">
        <v>75978.29</v>
      </c>
    </row>
    <row r="5">
      <c r="B5" s="142">
        <v>45848.0</v>
      </c>
      <c r="C5" s="143" t="s">
        <v>73</v>
      </c>
      <c r="D5" s="144">
        <f>7940.68+2872.16</f>
        <v>10812.84</v>
      </c>
      <c r="H5" s="145"/>
      <c r="I5" s="97" t="s">
        <v>103</v>
      </c>
      <c r="J5" s="146">
        <f>J4-J3</f>
        <v>8634.51</v>
      </c>
    </row>
    <row r="6">
      <c r="B6" s="138">
        <v>45922.0</v>
      </c>
      <c r="C6" s="140" t="s">
        <v>73</v>
      </c>
      <c r="D6" s="141">
        <v>10433.91</v>
      </c>
      <c r="H6" s="145"/>
      <c r="I6" s="147" t="s">
        <v>8</v>
      </c>
      <c r="J6" s="148">
        <f>IF(J4="","",(J5/J3))</f>
        <v>0.1282154046</v>
      </c>
    </row>
    <row r="7">
      <c r="B7" s="142">
        <v>45939.0</v>
      </c>
      <c r="C7" s="143" t="s">
        <v>73</v>
      </c>
      <c r="D7" s="144">
        <v>5955.25</v>
      </c>
      <c r="H7" s="145"/>
    </row>
    <row r="8">
      <c r="B8" s="138">
        <v>46000.0</v>
      </c>
      <c r="C8" s="140" t="s">
        <v>73</v>
      </c>
      <c r="D8" s="141">
        <v>11830.91</v>
      </c>
      <c r="H8" s="145"/>
    </row>
    <row r="9">
      <c r="B9" s="142">
        <v>46000.0</v>
      </c>
      <c r="C9" s="143" t="s">
        <v>73</v>
      </c>
      <c r="D9" s="144">
        <v>5915.45</v>
      </c>
      <c r="H9" s="145"/>
    </row>
    <row r="10">
      <c r="B10" s="138">
        <v>45686.0</v>
      </c>
      <c r="C10" s="140" t="s">
        <v>73</v>
      </c>
      <c r="D10" s="141">
        <v>16999.7</v>
      </c>
      <c r="H10" s="145"/>
    </row>
    <row r="11">
      <c r="B11" s="149"/>
      <c r="C11" s="150"/>
      <c r="D11" s="151"/>
      <c r="H11" s="145"/>
    </row>
    <row r="12">
      <c r="B12" s="152"/>
      <c r="C12" s="153"/>
      <c r="D12" s="154"/>
      <c r="H12" s="145"/>
    </row>
    <row r="13">
      <c r="B13" s="149"/>
      <c r="C13" s="150"/>
      <c r="D13" s="151"/>
      <c r="H13" s="145"/>
    </row>
    <row r="14">
      <c r="B14" s="152"/>
      <c r="C14" s="153"/>
      <c r="D14" s="154"/>
      <c r="H14" s="145"/>
    </row>
    <row r="15">
      <c r="B15" s="149"/>
      <c r="C15" s="150"/>
      <c r="D15" s="151"/>
      <c r="H15" s="145"/>
    </row>
    <row r="16">
      <c r="B16" s="152"/>
      <c r="C16" s="153"/>
      <c r="D16" s="154"/>
      <c r="H16" s="145"/>
    </row>
    <row r="17">
      <c r="B17" s="149"/>
      <c r="C17" s="150"/>
      <c r="D17" s="151"/>
      <c r="H17" s="145"/>
    </row>
    <row r="18">
      <c r="B18" s="152"/>
      <c r="C18" s="153"/>
      <c r="D18" s="154"/>
      <c r="H18" s="145"/>
    </row>
    <row r="19">
      <c r="B19" s="149"/>
      <c r="C19" s="150"/>
      <c r="D19" s="151"/>
      <c r="H19" s="145"/>
    </row>
    <row r="20">
      <c r="B20" s="152"/>
      <c r="C20" s="153"/>
      <c r="D20" s="154"/>
      <c r="H20" s="145"/>
    </row>
    <row r="21">
      <c r="B21" s="156"/>
      <c r="C21" s="157"/>
      <c r="D21" s="158"/>
      <c r="H21" s="145"/>
    </row>
    <row r="22">
      <c r="G22" s="145"/>
      <c r="H22" s="145"/>
    </row>
    <row r="23">
      <c r="G23" s="145"/>
      <c r="H23" s="145"/>
    </row>
    <row r="24">
      <c r="G24" s="145"/>
      <c r="H24" s="145"/>
    </row>
    <row r="25">
      <c r="G25" s="145"/>
      <c r="H25" s="145"/>
    </row>
  </sheetData>
  <mergeCells count="2">
    <mergeCell ref="E2:G2"/>
    <mergeCell ref="E3:G21"/>
  </mergeCells>
  <dataValidations>
    <dataValidation type="list" allowBlank="1" sqref="C2">
      <formula1>DB!$A$961:$A$982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6.13"/>
    <col customWidth="1" min="5" max="5" width="12.5"/>
    <col customWidth="1" min="6" max="6" width="19.38"/>
    <col customWidth="1" min="8" max="8" width="8.88"/>
    <col customWidth="1" min="9" max="9" width="19.38"/>
  </cols>
  <sheetData>
    <row r="1" ht="11.25" customHeight="1"/>
    <row r="2" ht="36.0" customHeight="1">
      <c r="B2" s="134" t="s">
        <v>22</v>
      </c>
      <c r="C2" s="19" t="s">
        <v>107</v>
      </c>
      <c r="D2" s="135" t="s">
        <v>100</v>
      </c>
      <c r="E2" s="21" t="str">
        <f>IF(C2="","",VLOOKUP(C2,DB!A2:B1655,2,0))</f>
        <v>Tesouro Selic 2031</v>
      </c>
      <c r="F2" s="4"/>
      <c r="G2" s="96"/>
    </row>
    <row r="3">
      <c r="B3" s="24" t="s">
        <v>25</v>
      </c>
      <c r="C3" s="25" t="s">
        <v>26</v>
      </c>
      <c r="D3" s="7" t="s">
        <v>29</v>
      </c>
      <c r="I3" s="136" t="s">
        <v>101</v>
      </c>
      <c r="J3" s="139">
        <f>SUM(D4:D12)</f>
        <v>50546.38</v>
      </c>
    </row>
    <row r="4">
      <c r="B4" s="138">
        <v>46087.0</v>
      </c>
      <c r="C4" s="140" t="s">
        <v>73</v>
      </c>
      <c r="D4" s="141">
        <v>21032.61</v>
      </c>
      <c r="I4" s="97" t="s">
        <v>6</v>
      </c>
      <c r="J4" s="137">
        <v>52794.56</v>
      </c>
    </row>
    <row r="5">
      <c r="B5" s="142">
        <v>46087.0</v>
      </c>
      <c r="C5" s="143" t="s">
        <v>73</v>
      </c>
      <c r="D5" s="144">
        <v>19925.63</v>
      </c>
      <c r="H5" s="145"/>
      <c r="I5" s="97" t="s">
        <v>103</v>
      </c>
      <c r="J5" s="146">
        <f>J4-J3</f>
        <v>2248.18</v>
      </c>
    </row>
    <row r="6">
      <c r="B6" s="138">
        <v>46128.0</v>
      </c>
      <c r="C6" s="140" t="s">
        <v>104</v>
      </c>
      <c r="D6" s="141">
        <v>-10112.08</v>
      </c>
      <c r="H6" s="145"/>
      <c r="I6" s="147" t="s">
        <v>8</v>
      </c>
      <c r="J6" s="148">
        <f>IF(J4="","",(J5/J3))</f>
        <v>0.04447756694</v>
      </c>
    </row>
    <row r="7">
      <c r="B7" s="142">
        <v>46206.0</v>
      </c>
      <c r="C7" s="143" t="s">
        <v>73</v>
      </c>
      <c r="D7" s="144">
        <v>24316.2</v>
      </c>
      <c r="H7" s="145"/>
    </row>
    <row r="8">
      <c r="B8" s="155">
        <v>46244.0</v>
      </c>
      <c r="C8" s="140" t="s">
        <v>104</v>
      </c>
      <c r="D8" s="141">
        <v>-7784.08</v>
      </c>
      <c r="H8" s="145"/>
    </row>
    <row r="9">
      <c r="B9" s="159">
        <v>46276.0</v>
      </c>
      <c r="C9" s="143" t="s">
        <v>73</v>
      </c>
      <c r="D9" s="144">
        <v>3168.1</v>
      </c>
      <c r="H9" s="145"/>
    </row>
    <row r="10">
      <c r="B10" s="138"/>
      <c r="C10" s="140"/>
      <c r="D10" s="141"/>
      <c r="H10" s="145"/>
    </row>
    <row r="11">
      <c r="B11" s="142"/>
      <c r="C11" s="143"/>
      <c r="D11" s="144"/>
      <c r="H11" s="145"/>
    </row>
    <row r="12">
      <c r="B12" s="138"/>
      <c r="C12" s="140"/>
      <c r="D12" s="141"/>
      <c r="H12" s="145"/>
    </row>
    <row r="13">
      <c r="B13" s="142"/>
      <c r="C13" s="143"/>
      <c r="D13" s="144"/>
      <c r="H13" s="145"/>
    </row>
    <row r="14">
      <c r="B14" s="152"/>
      <c r="C14" s="153"/>
      <c r="D14" s="154"/>
      <c r="H14" s="145"/>
    </row>
    <row r="15">
      <c r="B15" s="149"/>
      <c r="C15" s="150"/>
      <c r="D15" s="151"/>
      <c r="H15" s="145"/>
    </row>
    <row r="16">
      <c r="B16" s="152"/>
      <c r="C16" s="153"/>
      <c r="D16" s="154"/>
      <c r="H16" s="145"/>
    </row>
    <row r="17">
      <c r="B17" s="149"/>
      <c r="C17" s="150"/>
      <c r="D17" s="151"/>
      <c r="H17" s="145"/>
    </row>
    <row r="18">
      <c r="B18" s="152"/>
      <c r="C18" s="153"/>
      <c r="D18" s="154"/>
      <c r="H18" s="145"/>
    </row>
    <row r="19">
      <c r="B19" s="149"/>
      <c r="C19" s="150"/>
      <c r="D19" s="151"/>
      <c r="H19" s="145"/>
    </row>
    <row r="20">
      <c r="B20" s="152"/>
      <c r="C20" s="153"/>
      <c r="D20" s="154"/>
      <c r="H20" s="145"/>
    </row>
    <row r="21">
      <c r="B21" s="156"/>
      <c r="C21" s="157"/>
      <c r="D21" s="158"/>
      <c r="H21" s="145"/>
    </row>
    <row r="22">
      <c r="G22" s="145"/>
      <c r="H22" s="145"/>
    </row>
    <row r="23">
      <c r="G23" s="145"/>
      <c r="H23" s="145"/>
    </row>
    <row r="24">
      <c r="G24" s="145"/>
      <c r="H24" s="145"/>
    </row>
    <row r="25">
      <c r="G25" s="145"/>
      <c r="H25" s="145"/>
    </row>
  </sheetData>
  <mergeCells count="2">
    <mergeCell ref="E2:G2"/>
    <mergeCell ref="E3:G21"/>
  </mergeCells>
  <dataValidations>
    <dataValidation type="list" allowBlank="1" sqref="C2">
      <formula1>DB!$A$961:$A$982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6.13"/>
    <col customWidth="1" min="5" max="5" width="12.5"/>
    <col customWidth="1" min="6" max="6" width="19.38"/>
    <col customWidth="1" min="8" max="8" width="9.0"/>
    <col customWidth="1" min="9" max="9" width="19.38"/>
  </cols>
  <sheetData>
    <row r="1" ht="11.25" customHeight="1"/>
    <row r="2" ht="36.0" customHeight="1">
      <c r="B2" s="134" t="s">
        <v>22</v>
      </c>
      <c r="C2" s="19" t="s">
        <v>108</v>
      </c>
      <c r="D2" s="135" t="s">
        <v>100</v>
      </c>
      <c r="E2" s="21" t="str">
        <f>IF(C2="","",VLOOKUP(C2,DB!A2:B1655,2,0))</f>
        <v>Tesouro IPCA+ 2035</v>
      </c>
      <c r="F2" s="4"/>
      <c r="G2" s="96"/>
    </row>
    <row r="3">
      <c r="B3" s="24" t="s">
        <v>25</v>
      </c>
      <c r="C3" s="25" t="s">
        <v>26</v>
      </c>
      <c r="D3" s="7" t="s">
        <v>29</v>
      </c>
      <c r="I3" s="136" t="s">
        <v>101</v>
      </c>
      <c r="J3" s="160">
        <v>0.0</v>
      </c>
    </row>
    <row r="4">
      <c r="B4" s="138">
        <v>44625.0</v>
      </c>
      <c r="C4" s="140" t="s">
        <v>73</v>
      </c>
      <c r="D4" s="141">
        <v>9964.64</v>
      </c>
      <c r="I4" s="97" t="s">
        <v>6</v>
      </c>
      <c r="J4" s="137">
        <v>0.0</v>
      </c>
    </row>
    <row r="5">
      <c r="B5" s="142">
        <v>44628.0</v>
      </c>
      <c r="C5" s="143" t="s">
        <v>73</v>
      </c>
      <c r="D5" s="144">
        <v>508.02</v>
      </c>
      <c r="H5" s="145"/>
      <c r="I5" s="97" t="s">
        <v>103</v>
      </c>
      <c r="J5" s="146">
        <f>J4-J3</f>
        <v>0</v>
      </c>
      <c r="L5" s="161"/>
    </row>
    <row r="6">
      <c r="B6" s="138">
        <v>44743.0</v>
      </c>
      <c r="C6" s="140" t="s">
        <v>73</v>
      </c>
      <c r="D6" s="141">
        <v>498.05</v>
      </c>
      <c r="H6" s="145"/>
      <c r="I6" s="147" t="s">
        <v>8</v>
      </c>
      <c r="J6" s="148">
        <v>0.0</v>
      </c>
    </row>
    <row r="7">
      <c r="B7" s="142">
        <v>44841.0</v>
      </c>
      <c r="C7" s="143" t="s">
        <v>73</v>
      </c>
      <c r="D7" s="144">
        <v>509.35</v>
      </c>
      <c r="H7" s="145"/>
    </row>
    <row r="8">
      <c r="B8" s="138">
        <v>45005.0</v>
      </c>
      <c r="C8" s="140" t="s">
        <v>73</v>
      </c>
      <c r="D8" s="141">
        <v>505.1</v>
      </c>
      <c r="H8" s="145"/>
    </row>
    <row r="9">
      <c r="B9" s="159">
        <v>45246.0</v>
      </c>
      <c r="C9" s="143" t="s">
        <v>73</v>
      </c>
      <c r="D9" s="144">
        <v>2048.7</v>
      </c>
      <c r="H9" s="145"/>
    </row>
    <row r="10">
      <c r="B10" s="138">
        <v>45300.0</v>
      </c>
      <c r="C10" s="140" t="s">
        <v>73</v>
      </c>
      <c r="D10" s="141">
        <v>2001.05</v>
      </c>
      <c r="H10" s="145"/>
    </row>
    <row r="11">
      <c r="B11" s="142">
        <v>45341.0</v>
      </c>
      <c r="C11" s="143" t="s">
        <v>73</v>
      </c>
      <c r="D11" s="144">
        <v>12015.08</v>
      </c>
      <c r="H11" s="145"/>
    </row>
    <row r="12">
      <c r="B12" s="138">
        <v>45356.0</v>
      </c>
      <c r="C12" s="140" t="s">
        <v>73</v>
      </c>
      <c r="D12" s="141">
        <v>4998.95</v>
      </c>
      <c r="H12" s="145"/>
    </row>
    <row r="13">
      <c r="B13" s="142">
        <v>45370.0</v>
      </c>
      <c r="C13" s="143" t="s">
        <v>104</v>
      </c>
      <c r="D13" s="144">
        <v>-34453.76</v>
      </c>
      <c r="H13" s="145"/>
    </row>
    <row r="14">
      <c r="B14" s="138">
        <v>45421.0</v>
      </c>
      <c r="C14" s="140" t="s">
        <v>73</v>
      </c>
      <c r="D14" s="141">
        <v>1997.64</v>
      </c>
      <c r="H14" s="145"/>
    </row>
    <row r="15">
      <c r="B15" s="142">
        <v>45453.0</v>
      </c>
      <c r="C15" s="143" t="s">
        <v>73</v>
      </c>
      <c r="D15" s="144">
        <v>3988.3</v>
      </c>
      <c r="H15" s="145"/>
    </row>
    <row r="16">
      <c r="B16" s="138">
        <v>45523.0</v>
      </c>
      <c r="C16" s="140" t="s">
        <v>73</v>
      </c>
      <c r="D16" s="141">
        <v>10980.12</v>
      </c>
      <c r="H16" s="145"/>
    </row>
    <row r="17">
      <c r="B17" s="142">
        <v>45551.0</v>
      </c>
      <c r="C17" s="143" t="s">
        <v>73</v>
      </c>
      <c r="D17" s="144">
        <v>2096.23</v>
      </c>
      <c r="H17" s="145"/>
    </row>
    <row r="18">
      <c r="B18" s="155">
        <v>45595.0</v>
      </c>
      <c r="C18" s="140" t="s">
        <v>73</v>
      </c>
      <c r="D18" s="141">
        <v>4993.75</v>
      </c>
      <c r="H18" s="145"/>
    </row>
    <row r="19">
      <c r="B19" s="142">
        <v>45628.0</v>
      </c>
      <c r="C19" s="143" t="s">
        <v>73</v>
      </c>
      <c r="D19" s="144">
        <v>1488.62</v>
      </c>
      <c r="H19" s="145"/>
    </row>
    <row r="20">
      <c r="B20" s="138">
        <v>45667.0</v>
      </c>
      <c r="C20" s="140" t="s">
        <v>73</v>
      </c>
      <c r="D20" s="141">
        <v>899.46</v>
      </c>
      <c r="H20" s="145"/>
    </row>
    <row r="21">
      <c r="B21" s="162">
        <v>46083.0</v>
      </c>
      <c r="C21" s="163" t="s">
        <v>104</v>
      </c>
      <c r="D21" s="164">
        <v>-28414.86</v>
      </c>
      <c r="H21" s="145"/>
    </row>
    <row r="22">
      <c r="G22" s="145"/>
      <c r="H22" s="145"/>
    </row>
    <row r="23">
      <c r="G23" s="145"/>
      <c r="H23" s="145"/>
    </row>
    <row r="24">
      <c r="G24" s="145"/>
      <c r="H24" s="145"/>
    </row>
    <row r="25">
      <c r="G25" s="145"/>
      <c r="H25" s="145"/>
    </row>
  </sheetData>
  <mergeCells count="2">
    <mergeCell ref="E2:G2"/>
    <mergeCell ref="E3:G21"/>
  </mergeCells>
  <dataValidations>
    <dataValidation type="list" allowBlank="1" sqref="C2">
      <formula1>DB!$A$961:$A$974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6.13"/>
    <col customWidth="1" min="5" max="5" width="12.5"/>
    <col customWidth="1" min="6" max="6" width="19.38"/>
    <col customWidth="1" min="8" max="8" width="8.88"/>
    <col customWidth="1" min="9" max="9" width="19.38"/>
  </cols>
  <sheetData>
    <row r="1" ht="11.25" customHeight="1"/>
    <row r="2" ht="36.0" customHeight="1">
      <c r="B2" s="134" t="s">
        <v>22</v>
      </c>
      <c r="C2" s="19" t="s">
        <v>109</v>
      </c>
      <c r="D2" s="135" t="s">
        <v>100</v>
      </c>
      <c r="E2" s="21" t="str">
        <f>IF(C2="","",VLOOKUP(C2,DB!A2:B1655,2,0))</f>
        <v>Tesouro Educa+ 2043</v>
      </c>
      <c r="F2" s="4"/>
      <c r="G2" s="96"/>
    </row>
    <row r="3">
      <c r="B3" s="24" t="s">
        <v>25</v>
      </c>
      <c r="C3" s="25" t="s">
        <v>26</v>
      </c>
      <c r="D3" s="7" t="s">
        <v>29</v>
      </c>
      <c r="I3" s="136" t="s">
        <v>101</v>
      </c>
      <c r="J3" s="137">
        <f>SUM(D4:D21)</f>
        <v>3794.23</v>
      </c>
    </row>
    <row r="4">
      <c r="B4" s="138">
        <v>46206.0</v>
      </c>
      <c r="C4" s="140" t="s">
        <v>73</v>
      </c>
      <c r="D4" s="141">
        <v>2509.26</v>
      </c>
      <c r="I4" s="97" t="s">
        <v>6</v>
      </c>
      <c r="J4" s="137">
        <v>3786.53</v>
      </c>
    </row>
    <row r="5">
      <c r="B5" s="142">
        <v>46238.0</v>
      </c>
      <c r="C5" s="143" t="s">
        <v>73</v>
      </c>
      <c r="D5" s="144">
        <v>647.9</v>
      </c>
      <c r="H5" s="145"/>
      <c r="I5" s="97" t="s">
        <v>103</v>
      </c>
      <c r="J5" s="146">
        <f>J4-J3</f>
        <v>-7.7</v>
      </c>
    </row>
    <row r="6">
      <c r="B6" s="138">
        <v>46269.0</v>
      </c>
      <c r="C6" s="140" t="s">
        <v>73</v>
      </c>
      <c r="D6" s="141">
        <v>637.07</v>
      </c>
      <c r="H6" s="145"/>
      <c r="I6" s="147" t="s">
        <v>8</v>
      </c>
      <c r="J6" s="148">
        <f>IF(J4="","",(J5/J3))</f>
        <v>-0.002029397269</v>
      </c>
    </row>
    <row r="7">
      <c r="B7" s="149"/>
      <c r="C7" s="150"/>
      <c r="D7" s="151"/>
      <c r="H7" s="145"/>
    </row>
    <row r="8">
      <c r="B8" s="152"/>
      <c r="C8" s="153"/>
      <c r="D8" s="154"/>
      <c r="H8" s="145"/>
    </row>
    <row r="9">
      <c r="B9" s="149"/>
      <c r="C9" s="150"/>
      <c r="D9" s="151"/>
      <c r="H9" s="145"/>
    </row>
    <row r="10">
      <c r="B10" s="152"/>
      <c r="C10" s="153"/>
      <c r="D10" s="154"/>
      <c r="H10" s="145"/>
    </row>
    <row r="11">
      <c r="B11" s="149"/>
      <c r="C11" s="150"/>
      <c r="D11" s="151"/>
      <c r="H11" s="145"/>
    </row>
    <row r="12">
      <c r="B12" s="152"/>
      <c r="C12" s="153"/>
      <c r="D12" s="154"/>
      <c r="H12" s="145"/>
    </row>
    <row r="13">
      <c r="B13" s="149"/>
      <c r="C13" s="150"/>
      <c r="D13" s="151"/>
      <c r="H13" s="145"/>
    </row>
    <row r="14">
      <c r="B14" s="152"/>
      <c r="C14" s="153"/>
      <c r="D14" s="154"/>
      <c r="H14" s="145"/>
    </row>
    <row r="15">
      <c r="B15" s="149"/>
      <c r="C15" s="150"/>
      <c r="D15" s="151"/>
      <c r="H15" s="145"/>
    </row>
    <row r="16">
      <c r="B16" s="152"/>
      <c r="C16" s="153"/>
      <c r="D16" s="154"/>
      <c r="H16" s="145"/>
    </row>
    <row r="17">
      <c r="B17" s="149"/>
      <c r="C17" s="150"/>
      <c r="D17" s="151"/>
      <c r="H17" s="145"/>
    </row>
    <row r="18">
      <c r="B18" s="152"/>
      <c r="C18" s="153"/>
      <c r="D18" s="154"/>
      <c r="H18" s="145"/>
    </row>
    <row r="19">
      <c r="B19" s="149"/>
      <c r="C19" s="150"/>
      <c r="D19" s="151"/>
      <c r="H19" s="145"/>
    </row>
    <row r="20">
      <c r="B20" s="152"/>
      <c r="C20" s="153"/>
      <c r="D20" s="154"/>
      <c r="H20" s="145"/>
    </row>
    <row r="21">
      <c r="B21" s="156"/>
      <c r="C21" s="157"/>
      <c r="D21" s="158"/>
      <c r="H21" s="145"/>
    </row>
    <row r="22">
      <c r="G22" s="145"/>
      <c r="H22" s="145"/>
    </row>
    <row r="23">
      <c r="G23" s="145"/>
      <c r="H23" s="145"/>
    </row>
    <row r="24">
      <c r="G24" s="145"/>
      <c r="H24" s="145"/>
    </row>
    <row r="25">
      <c r="G25" s="145"/>
      <c r="H25" s="145"/>
    </row>
  </sheetData>
  <mergeCells count="2">
    <mergeCell ref="E2:G2"/>
    <mergeCell ref="E3:G21"/>
  </mergeCells>
  <dataValidations>
    <dataValidation type="list" allowBlank="1" sqref="C2">
      <formula1>DB!$A$961:$A$982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6.13"/>
    <col customWidth="1" min="5" max="5" width="12.5"/>
    <col customWidth="1" min="6" max="6" width="19.38"/>
    <col customWidth="1" min="8" max="8" width="8.88"/>
    <col customWidth="1" min="9" max="9" width="19.38"/>
  </cols>
  <sheetData>
    <row r="1" ht="11.25" customHeight="1"/>
    <row r="2" ht="36.0" customHeight="1">
      <c r="B2" s="134" t="s">
        <v>22</v>
      </c>
      <c r="C2" s="19" t="s">
        <v>110</v>
      </c>
      <c r="D2" s="135" t="s">
        <v>100</v>
      </c>
      <c r="E2" s="21" t="str">
        <f>IF(C2="","",VLOOKUP(C2,DB!A2:B1655,2,0))</f>
        <v>Tesouro Renda+ 2055</v>
      </c>
      <c r="F2" s="4"/>
      <c r="G2" s="96"/>
    </row>
    <row r="3">
      <c r="B3" s="24" t="s">
        <v>25</v>
      </c>
      <c r="C3" s="25" t="s">
        <v>26</v>
      </c>
      <c r="D3" s="7" t="s">
        <v>29</v>
      </c>
      <c r="I3" s="136" t="s">
        <v>101</v>
      </c>
      <c r="J3" s="137">
        <f>SUM(D4:D21)</f>
        <v>6449.86</v>
      </c>
    </row>
    <row r="4">
      <c r="B4" s="138">
        <v>46206.0</v>
      </c>
      <c r="C4" s="140" t="s">
        <v>73</v>
      </c>
      <c r="D4" s="141">
        <v>2149.81</v>
      </c>
      <c r="I4" s="97" t="s">
        <v>6</v>
      </c>
      <c r="J4" s="137">
        <v>6154.86</v>
      </c>
    </row>
    <row r="5">
      <c r="B5" s="142">
        <v>46238.0</v>
      </c>
      <c r="C5" s="143" t="s">
        <v>73</v>
      </c>
      <c r="D5" s="144">
        <v>2150.73</v>
      </c>
      <c r="H5" s="145"/>
      <c r="I5" s="97" t="s">
        <v>103</v>
      </c>
      <c r="J5" s="146">
        <f>J4-J3</f>
        <v>-295</v>
      </c>
    </row>
    <row r="6">
      <c r="B6" s="138">
        <v>46269.0</v>
      </c>
      <c r="C6" s="140" t="s">
        <v>73</v>
      </c>
      <c r="D6" s="141">
        <v>2149.32</v>
      </c>
      <c r="H6" s="145"/>
      <c r="I6" s="147" t="s">
        <v>8</v>
      </c>
      <c r="J6" s="148">
        <f>IF(J4="","",(J5/J3))</f>
        <v>-0.04573742686</v>
      </c>
    </row>
    <row r="7">
      <c r="B7" s="149"/>
      <c r="C7" s="150"/>
      <c r="D7" s="151"/>
      <c r="H7" s="145"/>
    </row>
    <row r="8">
      <c r="B8" s="152"/>
      <c r="C8" s="153"/>
      <c r="D8" s="154"/>
      <c r="H8" s="145"/>
    </row>
    <row r="9">
      <c r="B9" s="149"/>
      <c r="C9" s="150"/>
      <c r="D9" s="151"/>
      <c r="H9" s="145"/>
    </row>
    <row r="10">
      <c r="B10" s="152"/>
      <c r="C10" s="153"/>
      <c r="D10" s="154"/>
      <c r="H10" s="145"/>
    </row>
    <row r="11">
      <c r="B11" s="149"/>
      <c r="C11" s="150"/>
      <c r="D11" s="151"/>
      <c r="H11" s="145"/>
    </row>
    <row r="12">
      <c r="B12" s="152"/>
      <c r="C12" s="153"/>
      <c r="D12" s="154"/>
      <c r="H12" s="145"/>
    </row>
    <row r="13">
      <c r="B13" s="149"/>
      <c r="C13" s="150"/>
      <c r="D13" s="151"/>
      <c r="H13" s="145"/>
    </row>
    <row r="14">
      <c r="B14" s="152"/>
      <c r="C14" s="153"/>
      <c r="D14" s="154"/>
      <c r="H14" s="145"/>
    </row>
    <row r="15">
      <c r="B15" s="149"/>
      <c r="C15" s="150"/>
      <c r="D15" s="151"/>
      <c r="H15" s="145"/>
    </row>
    <row r="16">
      <c r="B16" s="152"/>
      <c r="C16" s="153"/>
      <c r="D16" s="154"/>
      <c r="H16" s="145"/>
    </row>
    <row r="17">
      <c r="B17" s="149"/>
      <c r="C17" s="150"/>
      <c r="D17" s="151"/>
      <c r="H17" s="145"/>
    </row>
    <row r="18">
      <c r="B18" s="152"/>
      <c r="C18" s="153"/>
      <c r="D18" s="154"/>
      <c r="H18" s="145"/>
    </row>
    <row r="19">
      <c r="B19" s="149"/>
      <c r="C19" s="150"/>
      <c r="D19" s="151"/>
      <c r="H19" s="145"/>
    </row>
    <row r="20">
      <c r="B20" s="152"/>
      <c r="C20" s="153"/>
      <c r="D20" s="154"/>
      <c r="H20" s="145"/>
    </row>
    <row r="21">
      <c r="B21" s="156"/>
      <c r="C21" s="157"/>
      <c r="D21" s="158"/>
      <c r="H21" s="145"/>
    </row>
    <row r="22">
      <c r="G22" s="145"/>
      <c r="H22" s="145"/>
    </row>
    <row r="23">
      <c r="G23" s="145"/>
      <c r="H23" s="145"/>
    </row>
    <row r="24">
      <c r="G24" s="145"/>
      <c r="H24" s="145"/>
    </row>
    <row r="25">
      <c r="G25" s="145"/>
      <c r="H25" s="145"/>
    </row>
  </sheetData>
  <mergeCells count="2">
    <mergeCell ref="E2:G2"/>
    <mergeCell ref="E3:G21"/>
  </mergeCells>
  <dataValidations>
    <dataValidation type="list" allowBlank="1" sqref="C2">
      <formula1>DB!$A$961:$A$982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6.13"/>
    <col customWidth="1" min="5" max="5" width="12.5"/>
    <col customWidth="1" min="6" max="6" width="19.38"/>
    <col customWidth="1" min="8" max="8" width="8.88"/>
    <col customWidth="1" min="9" max="9" width="19.38"/>
  </cols>
  <sheetData>
    <row r="1" ht="11.25" customHeight="1"/>
    <row r="2" ht="36.0" customHeight="1">
      <c r="B2" s="134" t="s">
        <v>22</v>
      </c>
      <c r="C2" s="19" t="s">
        <v>111</v>
      </c>
      <c r="D2" s="135" t="s">
        <v>100</v>
      </c>
      <c r="E2" s="21" t="str">
        <f>IF(C2="","",VLOOKUP(C2,DB!A2:B1655,2,0))</f>
        <v>Fundo Privelege DI</v>
      </c>
      <c r="F2" s="4"/>
      <c r="G2" s="96"/>
    </row>
    <row r="3">
      <c r="B3" s="24" t="s">
        <v>25</v>
      </c>
      <c r="C3" s="25" t="s">
        <v>26</v>
      </c>
      <c r="D3" s="7" t="s">
        <v>29</v>
      </c>
      <c r="I3" s="136" t="s">
        <v>101</v>
      </c>
      <c r="J3" s="160">
        <v>0.0</v>
      </c>
    </row>
    <row r="4">
      <c r="B4" s="138">
        <v>44628.0</v>
      </c>
      <c r="C4" s="140" t="s">
        <v>73</v>
      </c>
      <c r="D4" s="141">
        <v>1000.0</v>
      </c>
      <c r="I4" s="97" t="s">
        <v>6</v>
      </c>
      <c r="J4" s="137">
        <v>0.0</v>
      </c>
    </row>
    <row r="5">
      <c r="B5" s="142">
        <v>44652.0</v>
      </c>
      <c r="C5" s="143" t="s">
        <v>73</v>
      </c>
      <c r="D5" s="144">
        <v>500.0</v>
      </c>
      <c r="H5" s="145"/>
      <c r="I5" s="97" t="s">
        <v>103</v>
      </c>
      <c r="J5" s="165">
        <v>0.0</v>
      </c>
    </row>
    <row r="6">
      <c r="B6" s="138">
        <v>44743.0</v>
      </c>
      <c r="C6" s="140" t="s">
        <v>73</v>
      </c>
      <c r="D6" s="141">
        <v>500.0</v>
      </c>
      <c r="H6" s="145"/>
      <c r="I6" s="147" t="s">
        <v>8</v>
      </c>
      <c r="J6" s="148">
        <v>0.0</v>
      </c>
    </row>
    <row r="7">
      <c r="B7" s="142">
        <v>44866.0</v>
      </c>
      <c r="C7" s="143" t="s">
        <v>104</v>
      </c>
      <c r="D7" s="144">
        <v>-700.0</v>
      </c>
      <c r="H7" s="145"/>
    </row>
    <row r="8">
      <c r="B8" s="138">
        <v>44992.0</v>
      </c>
      <c r="C8" s="140" t="s">
        <v>104</v>
      </c>
      <c r="D8" s="141">
        <v>-1332.87</v>
      </c>
      <c r="H8" s="145"/>
    </row>
    <row r="9">
      <c r="B9" s="142">
        <v>45028.0</v>
      </c>
      <c r="C9" s="143" t="s">
        <v>73</v>
      </c>
      <c r="D9" s="144">
        <v>1000.0</v>
      </c>
      <c r="H9" s="145"/>
    </row>
    <row r="10">
      <c r="B10" s="138">
        <v>45058.0</v>
      </c>
      <c r="C10" s="140" t="s">
        <v>73</v>
      </c>
      <c r="D10" s="141">
        <v>2600.0</v>
      </c>
      <c r="H10" s="145"/>
    </row>
    <row r="11">
      <c r="B11" s="142">
        <v>45170.0</v>
      </c>
      <c r="C11" s="143" t="s">
        <v>104</v>
      </c>
      <c r="D11" s="144">
        <v>-3645.01</v>
      </c>
      <c r="H11" s="145"/>
    </row>
    <row r="12">
      <c r="B12" s="152"/>
      <c r="C12" s="153"/>
      <c r="D12" s="154"/>
      <c r="H12" s="145"/>
    </row>
    <row r="13">
      <c r="B13" s="149"/>
      <c r="C13" s="150"/>
      <c r="D13" s="151"/>
      <c r="H13" s="145"/>
    </row>
    <row r="14">
      <c r="B14" s="152"/>
      <c r="C14" s="153"/>
      <c r="D14" s="154"/>
      <c r="H14" s="145"/>
    </row>
    <row r="15">
      <c r="B15" s="149"/>
      <c r="C15" s="150"/>
      <c r="D15" s="151"/>
      <c r="H15" s="145"/>
    </row>
    <row r="16">
      <c r="B16" s="152"/>
      <c r="C16" s="153"/>
      <c r="D16" s="154"/>
      <c r="H16" s="145"/>
    </row>
    <row r="17">
      <c r="B17" s="149"/>
      <c r="C17" s="150"/>
      <c r="D17" s="151"/>
      <c r="H17" s="145"/>
    </row>
    <row r="18">
      <c r="B18" s="152"/>
      <c r="C18" s="153"/>
      <c r="D18" s="154"/>
      <c r="H18" s="145"/>
    </row>
    <row r="19">
      <c r="B19" s="149"/>
      <c r="C19" s="150"/>
      <c r="D19" s="151"/>
      <c r="H19" s="145"/>
    </row>
    <row r="20">
      <c r="B20" s="152"/>
      <c r="C20" s="153"/>
      <c r="D20" s="154"/>
      <c r="H20" s="145"/>
    </row>
    <row r="21">
      <c r="B21" s="156"/>
      <c r="C21" s="157"/>
      <c r="D21" s="158"/>
      <c r="H21" s="145"/>
    </row>
    <row r="22">
      <c r="G22" s="145"/>
      <c r="H22" s="145"/>
    </row>
    <row r="23">
      <c r="G23" s="145"/>
      <c r="H23" s="145"/>
    </row>
    <row r="24">
      <c r="G24" s="145"/>
      <c r="H24" s="145"/>
    </row>
    <row r="25">
      <c r="G25" s="145"/>
      <c r="H25" s="145"/>
    </row>
  </sheetData>
  <mergeCells count="2">
    <mergeCell ref="E2:G2"/>
    <mergeCell ref="E3:G21"/>
  </mergeCells>
  <dataValidations>
    <dataValidation type="list" allowBlank="1" sqref="C2">
      <formula1>DB!$A$961:$A$982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4.0"/>
    <col customWidth="1" min="4" max="4" width="16.13"/>
    <col customWidth="1" min="5" max="5" width="12.5"/>
    <col customWidth="1" min="6" max="6" width="19.38"/>
    <col customWidth="1" min="8" max="8" width="8.88"/>
    <col customWidth="1" min="9" max="9" width="19.38"/>
  </cols>
  <sheetData>
    <row r="1" ht="11.25" customHeight="1"/>
    <row r="2" ht="36.0" customHeight="1">
      <c r="B2" s="134" t="s">
        <v>22</v>
      </c>
      <c r="C2" s="19" t="s">
        <v>112</v>
      </c>
      <c r="D2" s="135" t="s">
        <v>100</v>
      </c>
      <c r="E2" s="21" t="str">
        <f>IF(C2="","",VLOOKUP(C2,DB!A2:B1655,2,0))</f>
        <v>Fundo Index Petrobras</v>
      </c>
      <c r="F2" s="4"/>
      <c r="G2" s="96"/>
    </row>
    <row r="3">
      <c r="B3" s="24" t="s">
        <v>25</v>
      </c>
      <c r="C3" s="25" t="s">
        <v>26</v>
      </c>
      <c r="D3" s="7" t="s">
        <v>29</v>
      </c>
      <c r="I3" s="136" t="s">
        <v>101</v>
      </c>
      <c r="J3" s="137">
        <v>0.0</v>
      </c>
    </row>
    <row r="4">
      <c r="B4" s="138">
        <v>44628.0</v>
      </c>
      <c r="C4" s="140" t="s">
        <v>73</v>
      </c>
      <c r="D4" s="141">
        <v>500.0</v>
      </c>
      <c r="I4" s="97" t="s">
        <v>6</v>
      </c>
      <c r="J4" s="137">
        <v>0.0</v>
      </c>
    </row>
    <row r="5">
      <c r="B5" s="142">
        <v>44652.0</v>
      </c>
      <c r="C5" s="143" t="s">
        <v>73</v>
      </c>
      <c r="D5" s="144">
        <v>250.0</v>
      </c>
      <c r="H5" s="145"/>
      <c r="I5" s="97" t="s">
        <v>103</v>
      </c>
      <c r="J5" s="146">
        <f>J4-J3</f>
        <v>0</v>
      </c>
    </row>
    <row r="6">
      <c r="B6" s="138">
        <v>44992.0</v>
      </c>
      <c r="C6" s="140" t="s">
        <v>104</v>
      </c>
      <c r="D6" s="141">
        <v>-899.47</v>
      </c>
      <c r="H6" s="145"/>
      <c r="I6" s="147" t="s">
        <v>8</v>
      </c>
      <c r="J6" s="148">
        <v>0.0</v>
      </c>
    </row>
    <row r="7">
      <c r="B7" s="149"/>
      <c r="C7" s="150"/>
      <c r="D7" s="151"/>
      <c r="H7" s="145"/>
    </row>
    <row r="8">
      <c r="B8" s="152"/>
      <c r="C8" s="153"/>
      <c r="D8" s="154"/>
      <c r="H8" s="145"/>
    </row>
    <row r="9">
      <c r="B9" s="149"/>
      <c r="C9" s="150"/>
      <c r="D9" s="151"/>
      <c r="H9" s="145"/>
    </row>
    <row r="10">
      <c r="B10" s="152"/>
      <c r="C10" s="153"/>
      <c r="D10" s="154"/>
      <c r="H10" s="145"/>
    </row>
    <row r="11">
      <c r="B11" s="149"/>
      <c r="C11" s="150"/>
      <c r="D11" s="151"/>
      <c r="H11" s="145"/>
    </row>
    <row r="12">
      <c r="B12" s="152"/>
      <c r="C12" s="153"/>
      <c r="D12" s="154"/>
      <c r="H12" s="145"/>
    </row>
    <row r="13">
      <c r="B13" s="149"/>
      <c r="C13" s="150"/>
      <c r="D13" s="151"/>
      <c r="H13" s="145"/>
    </row>
    <row r="14">
      <c r="B14" s="152"/>
      <c r="C14" s="153"/>
      <c r="D14" s="154"/>
      <c r="H14" s="145"/>
    </row>
    <row r="15">
      <c r="B15" s="149"/>
      <c r="C15" s="150"/>
      <c r="D15" s="151"/>
      <c r="H15" s="145"/>
    </row>
    <row r="16">
      <c r="B16" s="152"/>
      <c r="C16" s="153"/>
      <c r="D16" s="154"/>
      <c r="H16" s="145"/>
    </row>
    <row r="17">
      <c r="B17" s="149"/>
      <c r="C17" s="150"/>
      <c r="D17" s="151"/>
      <c r="H17" s="145"/>
    </row>
    <row r="18">
      <c r="B18" s="152"/>
      <c r="C18" s="153"/>
      <c r="D18" s="154"/>
      <c r="H18" s="145"/>
    </row>
    <row r="19">
      <c r="B19" s="149"/>
      <c r="C19" s="150"/>
      <c r="D19" s="151"/>
      <c r="H19" s="145"/>
    </row>
    <row r="20">
      <c r="B20" s="152"/>
      <c r="C20" s="153"/>
      <c r="D20" s="154"/>
      <c r="H20" s="145"/>
    </row>
    <row r="21">
      <c r="B21" s="156"/>
      <c r="C21" s="157"/>
      <c r="D21" s="158"/>
      <c r="H21" s="145"/>
    </row>
    <row r="22">
      <c r="G22" s="145"/>
      <c r="H22" s="145"/>
    </row>
    <row r="23">
      <c r="G23" s="145"/>
      <c r="H23" s="145"/>
    </row>
    <row r="24">
      <c r="G24" s="145"/>
      <c r="H24" s="145"/>
    </row>
    <row r="25">
      <c r="G25" s="145"/>
      <c r="H25" s="145"/>
    </row>
  </sheetData>
  <mergeCells count="2">
    <mergeCell ref="E2:G2"/>
    <mergeCell ref="E3:G21"/>
  </mergeCells>
  <dataValidations>
    <dataValidation type="list" allowBlank="1" sqref="C2">
      <formula1>DB!$A$961:$A$982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6.13"/>
    <col customWidth="1" min="5" max="5" width="12.5"/>
    <col customWidth="1" min="6" max="6" width="19.38"/>
    <col customWidth="1" min="8" max="8" width="8.88"/>
    <col customWidth="1" min="9" max="9" width="19.38"/>
  </cols>
  <sheetData>
    <row r="1" ht="11.25" customHeight="1"/>
    <row r="2" ht="36.0" customHeight="1">
      <c r="B2" s="134" t="s">
        <v>22</v>
      </c>
      <c r="C2" s="19" t="s">
        <v>113</v>
      </c>
      <c r="D2" s="135" t="s">
        <v>100</v>
      </c>
      <c r="E2" s="21" t="str">
        <f>IF(C2="","",VLOOKUP(C2,DB!A2:B1655,2,0))</f>
        <v>Fundo Index SP500</v>
      </c>
      <c r="F2" s="4"/>
      <c r="G2" s="96"/>
    </row>
    <row r="3">
      <c r="B3" s="24" t="s">
        <v>25</v>
      </c>
      <c r="C3" s="25" t="s">
        <v>26</v>
      </c>
      <c r="D3" s="7" t="s">
        <v>29</v>
      </c>
      <c r="I3" s="136" t="s">
        <v>101</v>
      </c>
      <c r="J3" s="139">
        <f>SUM(D4:D21)</f>
        <v>-32.8</v>
      </c>
    </row>
    <row r="4">
      <c r="B4" s="138">
        <v>44628.0</v>
      </c>
      <c r="C4" s="140" t="s">
        <v>73</v>
      </c>
      <c r="D4" s="141">
        <v>500.0</v>
      </c>
      <c r="I4" s="97" t="s">
        <v>6</v>
      </c>
      <c r="J4" s="137">
        <v>0.0</v>
      </c>
    </row>
    <row r="5">
      <c r="B5" s="142">
        <v>44652.0</v>
      </c>
      <c r="C5" s="143" t="s">
        <v>73</v>
      </c>
      <c r="D5" s="144">
        <v>250.0</v>
      </c>
      <c r="H5" s="145"/>
      <c r="I5" s="97" t="s">
        <v>103</v>
      </c>
      <c r="J5" s="165">
        <v>0.0</v>
      </c>
    </row>
    <row r="6">
      <c r="B6" s="138">
        <v>45170.0</v>
      </c>
      <c r="C6" s="140" t="s">
        <v>104</v>
      </c>
      <c r="D6" s="141">
        <v>-782.8</v>
      </c>
      <c r="H6" s="145"/>
      <c r="I6" s="147" t="s">
        <v>8</v>
      </c>
      <c r="J6" s="148">
        <f>IF(J4="","",(J5/J3))</f>
        <v>0</v>
      </c>
    </row>
    <row r="7">
      <c r="B7" s="149"/>
      <c r="C7" s="150"/>
      <c r="D7" s="151"/>
      <c r="H7" s="145"/>
    </row>
    <row r="8">
      <c r="B8" s="152"/>
      <c r="C8" s="153"/>
      <c r="D8" s="154"/>
      <c r="H8" s="145"/>
    </row>
    <row r="9">
      <c r="B9" s="149"/>
      <c r="C9" s="150"/>
      <c r="D9" s="151"/>
      <c r="H9" s="145"/>
    </row>
    <row r="10">
      <c r="B10" s="152"/>
      <c r="C10" s="153"/>
      <c r="D10" s="154"/>
      <c r="H10" s="145"/>
    </row>
    <row r="11">
      <c r="B11" s="149"/>
      <c r="C11" s="150"/>
      <c r="D11" s="151"/>
      <c r="H11" s="145"/>
    </row>
    <row r="12">
      <c r="B12" s="152"/>
      <c r="C12" s="153"/>
      <c r="D12" s="154"/>
      <c r="H12" s="145"/>
    </row>
    <row r="13">
      <c r="B13" s="149"/>
      <c r="C13" s="150"/>
      <c r="D13" s="151"/>
      <c r="H13" s="145"/>
    </row>
    <row r="14">
      <c r="B14" s="152"/>
      <c r="C14" s="153"/>
      <c r="D14" s="154"/>
      <c r="H14" s="145"/>
    </row>
    <row r="15">
      <c r="B15" s="149"/>
      <c r="C15" s="150"/>
      <c r="D15" s="151"/>
      <c r="H15" s="145"/>
    </row>
    <row r="16">
      <c r="B16" s="152"/>
      <c r="C16" s="153"/>
      <c r="D16" s="154"/>
      <c r="H16" s="145"/>
    </row>
    <row r="17">
      <c r="B17" s="149"/>
      <c r="C17" s="150"/>
      <c r="D17" s="151"/>
      <c r="H17" s="145"/>
    </row>
    <row r="18">
      <c r="B18" s="152"/>
      <c r="C18" s="153"/>
      <c r="D18" s="154"/>
      <c r="H18" s="145"/>
    </row>
    <row r="19">
      <c r="B19" s="149"/>
      <c r="C19" s="150"/>
      <c r="D19" s="151"/>
      <c r="H19" s="145"/>
    </row>
    <row r="20">
      <c r="B20" s="152"/>
      <c r="C20" s="153"/>
      <c r="D20" s="154"/>
      <c r="H20" s="145"/>
    </row>
    <row r="21">
      <c r="B21" s="156"/>
      <c r="C21" s="157"/>
      <c r="D21" s="158"/>
      <c r="H21" s="145"/>
    </row>
    <row r="22">
      <c r="G22" s="145"/>
      <c r="H22" s="145"/>
    </row>
    <row r="23">
      <c r="G23" s="145"/>
      <c r="H23" s="145"/>
    </row>
    <row r="24">
      <c r="G24" s="145"/>
      <c r="H24" s="145"/>
    </row>
    <row r="25">
      <c r="G25" s="145"/>
      <c r="H25" s="145"/>
    </row>
  </sheetData>
  <mergeCells count="2">
    <mergeCell ref="E2:G2"/>
    <mergeCell ref="E3:G21"/>
  </mergeCells>
  <dataValidations>
    <dataValidation type="list" allowBlank="1" sqref="C2">
      <formula1>DB!$A$961:$A$982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4.5"/>
    <col customWidth="1" min="3" max="3" width="13.0"/>
    <col customWidth="1" min="4" max="4" width="16.13"/>
    <col customWidth="1" min="5" max="5" width="12.5"/>
    <col customWidth="1" min="6" max="6" width="19.38"/>
    <col customWidth="1" min="8" max="8" width="8.88"/>
    <col customWidth="1" min="9" max="9" width="19.38"/>
  </cols>
  <sheetData>
    <row r="1" ht="11.25" customHeight="1"/>
    <row r="2" ht="36.0" customHeight="1">
      <c r="B2" s="134" t="s">
        <v>22</v>
      </c>
      <c r="C2" s="19" t="s">
        <v>114</v>
      </c>
      <c r="D2" s="135" t="s">
        <v>100</v>
      </c>
      <c r="E2" s="21" t="str">
        <f>IF(C2="","",VLOOKUP(C2,DB!A2:B1655,2,0))</f>
        <v>Poupança Itaú</v>
      </c>
      <c r="F2" s="4"/>
      <c r="G2" s="96"/>
    </row>
    <row r="3">
      <c r="B3" s="24" t="s">
        <v>25</v>
      </c>
      <c r="C3" s="25" t="s">
        <v>26</v>
      </c>
      <c r="D3" s="7" t="s">
        <v>29</v>
      </c>
      <c r="I3" s="136" t="s">
        <v>101</v>
      </c>
      <c r="J3" s="160">
        <v>0.0</v>
      </c>
    </row>
    <row r="4">
      <c r="B4" s="138">
        <v>44628.0</v>
      </c>
      <c r="C4" s="140" t="s">
        <v>73</v>
      </c>
      <c r="D4" s="141">
        <v>40496.7</v>
      </c>
      <c r="I4" s="97" t="s">
        <v>6</v>
      </c>
      <c r="J4" s="137">
        <v>0.0</v>
      </c>
    </row>
    <row r="5">
      <c r="B5" s="142">
        <v>44630.0</v>
      </c>
      <c r="C5" s="143" t="s">
        <v>104</v>
      </c>
      <c r="D5" s="144">
        <v>-15400.0</v>
      </c>
      <c r="H5" s="145"/>
      <c r="I5" s="97" t="s">
        <v>103</v>
      </c>
      <c r="J5" s="146">
        <f>J4-J3</f>
        <v>0</v>
      </c>
    </row>
    <row r="6">
      <c r="B6" s="138">
        <v>44651.0</v>
      </c>
      <c r="C6" s="140" t="s">
        <v>73</v>
      </c>
      <c r="D6" s="141">
        <v>2000.4</v>
      </c>
      <c r="H6" s="145"/>
      <c r="I6" s="147" t="s">
        <v>8</v>
      </c>
      <c r="J6" s="148">
        <v>0.0</v>
      </c>
    </row>
    <row r="7">
      <c r="B7" s="142">
        <v>44681.0</v>
      </c>
      <c r="C7" s="143" t="s">
        <v>104</v>
      </c>
      <c r="D7" s="144">
        <v>-12769.0</v>
      </c>
      <c r="H7" s="145"/>
    </row>
    <row r="8">
      <c r="B8" s="138">
        <v>44694.0</v>
      </c>
      <c r="C8" s="140" t="s">
        <v>104</v>
      </c>
      <c r="D8" s="141">
        <v>-946.0</v>
      </c>
      <c r="H8" s="145"/>
    </row>
    <row r="9">
      <c r="B9" s="142">
        <v>44712.0</v>
      </c>
      <c r="C9" s="143" t="s">
        <v>104</v>
      </c>
      <c r="D9" s="144">
        <v>-8866.0</v>
      </c>
      <c r="H9" s="145"/>
    </row>
    <row r="10">
      <c r="B10" s="138">
        <v>44716.0</v>
      </c>
      <c r="C10" s="140" t="s">
        <v>104</v>
      </c>
      <c r="D10" s="141">
        <v>-4515.55</v>
      </c>
      <c r="H10" s="145"/>
    </row>
    <row r="11">
      <c r="B11" s="142">
        <v>44743.0</v>
      </c>
      <c r="C11" s="143" t="s">
        <v>73</v>
      </c>
      <c r="D11" s="144">
        <v>2000.0</v>
      </c>
      <c r="H11" s="145"/>
    </row>
    <row r="12">
      <c r="B12" s="138">
        <v>44748.0</v>
      </c>
      <c r="C12" s="140" t="s">
        <v>104</v>
      </c>
      <c r="D12" s="141">
        <v>1500.0</v>
      </c>
      <c r="H12" s="145"/>
    </row>
    <row r="13">
      <c r="B13" s="142">
        <v>44782.0</v>
      </c>
      <c r="C13" s="143" t="s">
        <v>104</v>
      </c>
      <c r="D13" s="144">
        <v>-500.0</v>
      </c>
      <c r="H13" s="145"/>
    </row>
    <row r="14">
      <c r="B14" s="152"/>
      <c r="C14" s="153"/>
      <c r="D14" s="154"/>
      <c r="H14" s="145"/>
    </row>
    <row r="15">
      <c r="B15" s="149"/>
      <c r="C15" s="150"/>
      <c r="D15" s="151"/>
      <c r="H15" s="145"/>
    </row>
    <row r="16">
      <c r="B16" s="152"/>
      <c r="C16" s="153"/>
      <c r="D16" s="154"/>
      <c r="H16" s="145"/>
    </row>
    <row r="17">
      <c r="B17" s="149"/>
      <c r="C17" s="150"/>
      <c r="D17" s="151"/>
      <c r="H17" s="145"/>
    </row>
    <row r="18">
      <c r="B18" s="152"/>
      <c r="C18" s="153"/>
      <c r="D18" s="154"/>
      <c r="H18" s="145"/>
    </row>
    <row r="19">
      <c r="B19" s="149"/>
      <c r="C19" s="150"/>
      <c r="D19" s="151"/>
      <c r="H19" s="145"/>
    </row>
    <row r="20">
      <c r="B20" s="152"/>
      <c r="C20" s="153"/>
      <c r="D20" s="154"/>
      <c r="H20" s="145"/>
    </row>
    <row r="21">
      <c r="B21" s="156"/>
      <c r="C21" s="157"/>
      <c r="D21" s="158"/>
      <c r="H21" s="145"/>
    </row>
    <row r="22">
      <c r="G22" s="145"/>
      <c r="H22" s="145"/>
    </row>
    <row r="23">
      <c r="G23" s="145"/>
      <c r="H23" s="145"/>
    </row>
    <row r="24">
      <c r="G24" s="145"/>
      <c r="H24" s="145"/>
    </row>
    <row r="25">
      <c r="G25" s="145"/>
      <c r="H25" s="145"/>
    </row>
  </sheetData>
  <mergeCells count="2">
    <mergeCell ref="E2:G2"/>
    <mergeCell ref="E3:G21"/>
  </mergeCells>
  <dataValidations>
    <dataValidation type="list" allowBlank="1" sqref="C2">
      <formula1>DB!$A$961:$A$982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13"/>
    <col customWidth="1" min="4" max="4" width="5.88"/>
    <col customWidth="1" min="7" max="7" width="5.63"/>
    <col customWidth="1" min="10" max="10" width="18.38"/>
    <col customWidth="1" min="11" max="11" width="11.63"/>
    <col customWidth="1" min="12" max="12" width="6.75"/>
    <col customWidth="1" min="15" max="15" width="6.38"/>
    <col customWidth="1" min="16" max="16" width="25.88"/>
    <col customWidth="1" min="18" max="18" width="6.75"/>
    <col customWidth="1" min="21" max="21" width="6.5"/>
  </cols>
  <sheetData>
    <row r="1">
      <c r="K1" s="32" t="s">
        <v>145</v>
      </c>
    </row>
    <row r="2">
      <c r="K2" s="168">
        <f t="shared" ref="K2:K6" si="1">(I2-J2)/J2</f>
        <v>0.2073446274</v>
      </c>
    </row>
    <row r="3">
      <c r="K3" s="168">
        <f t="shared" si="1"/>
        <v>0.2508337899</v>
      </c>
    </row>
    <row r="4">
      <c r="K4" s="168">
        <f t="shared" si="1"/>
        <v>-0.03203205077</v>
      </c>
    </row>
    <row r="5">
      <c r="K5" s="168">
        <f t="shared" si="1"/>
        <v>0.3141440684</v>
      </c>
    </row>
    <row r="6">
      <c r="K6" s="168" t="str">
        <f t="shared" si="1"/>
        <v>#DIV/0!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</sheetData>
  <drawing r:id="rId7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4.5"/>
    <col customWidth="1" min="7" max="7" width="8.25"/>
    <col customWidth="1" min="10" max="10" width="22.88"/>
    <col customWidth="1" min="11" max="11" width="9.0"/>
    <col customWidth="1" min="12" max="13" width="18.0"/>
  </cols>
  <sheetData>
    <row r="1">
      <c r="K1" s="32" t="s">
        <v>145</v>
      </c>
    </row>
    <row r="2">
      <c r="K2" s="168">
        <f t="shared" ref="K2:K4" si="1">(I2-J2)/J2</f>
        <v>0.12018841</v>
      </c>
    </row>
    <row r="3">
      <c r="K3" s="168" t="str">
        <f t="shared" si="1"/>
        <v>#DIV/0!</v>
      </c>
    </row>
    <row r="4">
      <c r="K4" s="168" t="str">
        <f t="shared" si="1"/>
        <v>#DIV/0!</v>
      </c>
    </row>
    <row r="5"/>
    <row r="6"/>
  </sheetData>
  <drawing r:id="rId5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54.88"/>
    <col customWidth="1" min="3" max="3" width="35.0"/>
    <col customWidth="1" min="4" max="4" width="43.0"/>
    <col customWidth="1" min="5" max="5" width="31.75"/>
    <col customWidth="1" min="6" max="6" width="32.5"/>
    <col customWidth="1" min="7" max="7" width="18.0"/>
  </cols>
  <sheetData>
    <row r="1">
      <c r="A1" s="166" t="s">
        <v>117</v>
      </c>
      <c r="B1" s="167" t="s">
        <v>120</v>
      </c>
      <c r="C1" s="167" t="s">
        <v>121</v>
      </c>
      <c r="D1" s="167" t="s">
        <v>122</v>
      </c>
      <c r="E1" s="167" t="s">
        <v>123</v>
      </c>
      <c r="F1" s="167" t="s">
        <v>124</v>
      </c>
      <c r="G1" s="167" t="s">
        <v>125</v>
      </c>
    </row>
    <row r="2">
      <c r="A2" s="167" t="s">
        <v>126</v>
      </c>
      <c r="B2" s="167" t="str">
        <f>IFERROR(__xludf.DUMMYFUNCTION("GOOGLEFINANCE(A2,""Name"")"),"Cosan SA")</f>
        <v>Cosan SA</v>
      </c>
      <c r="C2" s="167" t="s">
        <v>128</v>
      </c>
      <c r="D2" s="167" t="s">
        <v>129</v>
      </c>
      <c r="E2" s="167" t="s">
        <v>129</v>
      </c>
      <c r="F2" s="167" t="s">
        <v>130</v>
      </c>
      <c r="G2" s="167" t="s">
        <v>131</v>
      </c>
    </row>
    <row r="3">
      <c r="A3" s="167" t="s">
        <v>132</v>
      </c>
      <c r="B3" s="167" t="str">
        <f>IFERROR(__xludf.DUMMYFUNCTION("GOOGLEFINANCE(A3,""Name"")"),"#N/A")</f>
        <v>#N/A</v>
      </c>
      <c r="C3" s="167" t="s">
        <v>133</v>
      </c>
      <c r="D3" s="167" t="s">
        <v>129</v>
      </c>
      <c r="E3" s="167" t="s">
        <v>129</v>
      </c>
      <c r="F3" s="167" t="s">
        <v>130</v>
      </c>
      <c r="G3" s="167" t="s">
        <v>131</v>
      </c>
    </row>
    <row r="4">
      <c r="A4" s="167" t="s">
        <v>134</v>
      </c>
      <c r="B4" s="167" t="str">
        <f>IFERROR(__xludf.DUMMYFUNCTION("GOOGLEFINANCE(A4,""Name"")"),"#N/A")</f>
        <v>#N/A</v>
      </c>
      <c r="C4" s="167" t="s">
        <v>133</v>
      </c>
      <c r="D4" s="167" t="s">
        <v>129</v>
      </c>
      <c r="E4" s="167" t="s">
        <v>129</v>
      </c>
      <c r="F4" s="167" t="s">
        <v>130</v>
      </c>
      <c r="G4" s="167" t="s">
        <v>131</v>
      </c>
    </row>
    <row r="5">
      <c r="A5" s="167" t="s">
        <v>135</v>
      </c>
      <c r="B5" s="167" t="str">
        <f>IFERROR(__xludf.DUMMYFUNCTION("GOOGLEFINANCE(A5,""Name"")"),"#N/A")</f>
        <v>#N/A</v>
      </c>
      <c r="C5" s="167" t="s">
        <v>136</v>
      </c>
      <c r="D5" s="167" t="s">
        <v>129</v>
      </c>
      <c r="E5" s="167" t="s">
        <v>129</v>
      </c>
      <c r="F5" s="167" t="s">
        <v>130</v>
      </c>
      <c r="G5" s="167" t="s">
        <v>131</v>
      </c>
    </row>
    <row r="6">
      <c r="A6" s="167" t="s">
        <v>137</v>
      </c>
      <c r="B6" s="167" t="str">
        <f>IFERROR(__xludf.DUMMYFUNCTION("GOOGLEFINANCE(A6,""Name"")"),"Refinaria de Petroleos d Mng S em Rcp Jd")</f>
        <v>Refinaria de Petroleos d Mng S em Rcp Jd</v>
      </c>
      <c r="C6" s="167" t="s">
        <v>138</v>
      </c>
      <c r="D6" s="167" t="s">
        <v>129</v>
      </c>
      <c r="E6" s="167" t="s">
        <v>129</v>
      </c>
      <c r="F6" s="167" t="s">
        <v>130</v>
      </c>
      <c r="G6" s="167" t="s">
        <v>131</v>
      </c>
    </row>
    <row r="7">
      <c r="A7" s="167" t="s">
        <v>139</v>
      </c>
      <c r="B7" s="167" t="str">
        <f>IFERROR(__xludf.DUMMYFUNCTION("GOOGLEFINANCE(A7,""Name"")"),"Petrobras Brasileiro Cedear")</f>
        <v>Petrobras Brasileiro Cedear</v>
      </c>
      <c r="C7" s="167" t="s">
        <v>140</v>
      </c>
      <c r="D7" s="167" t="s">
        <v>129</v>
      </c>
      <c r="E7" s="167" t="s">
        <v>129</v>
      </c>
      <c r="F7" s="167" t="s">
        <v>130</v>
      </c>
      <c r="G7" s="167" t="s">
        <v>131</v>
      </c>
    </row>
    <row r="8">
      <c r="A8" s="167" t="s">
        <v>141</v>
      </c>
      <c r="B8" s="167" t="str">
        <f>IFERROR(__xludf.DUMMYFUNCTION("GOOGLEFINANCE(A8,""Name"")"),"Petroleo Brasileiro SA Petrobras Preference Shares")</f>
        <v>Petroleo Brasileiro SA Petrobras Preference Shares</v>
      </c>
      <c r="C8" s="167" t="s">
        <v>140</v>
      </c>
      <c r="D8" s="167" t="s">
        <v>129</v>
      </c>
      <c r="E8" s="167" t="s">
        <v>129</v>
      </c>
      <c r="F8" s="167" t="s">
        <v>130</v>
      </c>
      <c r="G8" s="167" t="s">
        <v>131</v>
      </c>
    </row>
    <row r="9">
      <c r="A9" s="167" t="s">
        <v>143</v>
      </c>
      <c r="B9" s="167" t="str">
        <f>IFERROR(__xludf.DUMMYFUNCTION("GOOGLEFINANCE(A9,""Name"")"),"#N/A")</f>
        <v>#N/A</v>
      </c>
      <c r="C9" s="167" t="s">
        <v>144</v>
      </c>
      <c r="D9" s="167" t="s">
        <v>129</v>
      </c>
      <c r="E9" s="167" t="s">
        <v>129</v>
      </c>
      <c r="F9" s="167" t="s">
        <v>130</v>
      </c>
      <c r="G9" s="167" t="s">
        <v>131</v>
      </c>
    </row>
    <row r="10">
      <c r="A10" s="167" t="s">
        <v>146</v>
      </c>
      <c r="B10" s="167" t="str">
        <f>IFERROR(__xludf.DUMMYFUNCTION("GOOGLEFINANCE(A10,""Name"")"),"Vibra Energia SA")</f>
        <v>Vibra Energia SA</v>
      </c>
      <c r="C10" s="167" t="s">
        <v>144</v>
      </c>
      <c r="D10" s="167" t="s">
        <v>129</v>
      </c>
      <c r="E10" s="167" t="s">
        <v>129</v>
      </c>
      <c r="F10" s="167" t="s">
        <v>130</v>
      </c>
      <c r="G10" s="167" t="s">
        <v>131</v>
      </c>
    </row>
    <row r="11">
      <c r="A11" s="167" t="s">
        <v>147</v>
      </c>
      <c r="B11" s="167" t="str">
        <f>IFERROR(__xludf.DUMMYFUNCTION("GOOGLEFINANCE(A11,""Name"")"),"Prio Cedar")</f>
        <v>Prio Cedar</v>
      </c>
      <c r="C11" s="167" t="s">
        <v>148</v>
      </c>
      <c r="D11" s="167" t="s">
        <v>129</v>
      </c>
      <c r="E11" s="167" t="s">
        <v>129</v>
      </c>
      <c r="F11" s="167" t="s">
        <v>130</v>
      </c>
      <c r="G11" s="167" t="s">
        <v>131</v>
      </c>
    </row>
    <row r="12">
      <c r="A12" s="167" t="s">
        <v>149</v>
      </c>
      <c r="B12" s="167" t="str">
        <f>IFERROR(__xludf.DUMMYFUNCTION("GOOGLEFINANCE(A12,""Name"")"),"Ultrapar Participacoes SA")</f>
        <v>Ultrapar Participacoes SA</v>
      </c>
      <c r="C12" s="167" t="s">
        <v>150</v>
      </c>
      <c r="D12" s="167" t="s">
        <v>129</v>
      </c>
      <c r="E12" s="167" t="s">
        <v>129</v>
      </c>
      <c r="F12" s="167" t="s">
        <v>130</v>
      </c>
      <c r="G12" s="167" t="s">
        <v>131</v>
      </c>
    </row>
    <row r="13">
      <c r="A13" s="167" t="s">
        <v>151</v>
      </c>
      <c r="B13" s="167" t="str">
        <f>IFERROR(__xludf.DUMMYFUNCTION("GOOGLEFINANCE(A13,""Name"")"),"Lupatech SA")</f>
        <v>Lupatech SA</v>
      </c>
      <c r="C13" s="167" t="s">
        <v>152</v>
      </c>
      <c r="D13" s="167" t="s">
        <v>129</v>
      </c>
      <c r="E13" s="167" t="s">
        <v>129</v>
      </c>
      <c r="F13" s="167" t="s">
        <v>153</v>
      </c>
      <c r="G13" s="167" t="s">
        <v>131</v>
      </c>
    </row>
    <row r="14">
      <c r="A14" s="167" t="s">
        <v>154</v>
      </c>
      <c r="B14" s="167" t="str">
        <f>IFERROR(__xludf.DUMMYFUNCTION("GOOGLEFINANCE(A14,""Name"")"),"OSX BRASIL SA")</f>
        <v>OSX BRASIL SA</v>
      </c>
      <c r="C14" s="167" t="s">
        <v>155</v>
      </c>
      <c r="D14" s="167" t="s">
        <v>129</v>
      </c>
      <c r="E14" s="167" t="s">
        <v>129</v>
      </c>
      <c r="F14" s="167" t="s">
        <v>153</v>
      </c>
      <c r="G14" s="167" t="s">
        <v>131</v>
      </c>
    </row>
    <row r="15">
      <c r="A15" s="167" t="s">
        <v>156</v>
      </c>
      <c r="B15" s="167" t="str">
        <f>IFERROR(__xludf.DUMMYFUNCTION("GOOGLEFINANCE(A15,""Name"")"),"Bradespar SA")</f>
        <v>Bradespar SA</v>
      </c>
      <c r="C15" s="167" t="s">
        <v>157</v>
      </c>
      <c r="D15" s="167" t="s">
        <v>158</v>
      </c>
      <c r="E15" s="167" t="s">
        <v>159</v>
      </c>
      <c r="F15" s="167" t="s">
        <v>160</v>
      </c>
      <c r="G15" s="167" t="s">
        <v>131</v>
      </c>
    </row>
    <row r="16">
      <c r="A16" s="167" t="s">
        <v>161</v>
      </c>
      <c r="B16" s="167" t="str">
        <f>IFERROR(__xludf.DUMMYFUNCTION("GOOGLEFINANCE(A16,""Name"")"),"Bradespar SA Preference Shares")</f>
        <v>Bradespar SA Preference Shares</v>
      </c>
      <c r="C16" s="167" t="s">
        <v>157</v>
      </c>
      <c r="D16" s="167" t="s">
        <v>158</v>
      </c>
      <c r="E16" s="167" t="s">
        <v>159</v>
      </c>
      <c r="F16" s="167" t="s">
        <v>160</v>
      </c>
      <c r="G16" s="167" t="s">
        <v>131</v>
      </c>
    </row>
    <row r="17">
      <c r="A17" s="167" t="s">
        <v>163</v>
      </c>
      <c r="B17" s="167" t="str">
        <f>IFERROR(__xludf.DUMMYFUNCTION("GOOGLEFINANCE(A17,""Name"")"),"Litel Participacoes S/A")</f>
        <v>Litel Participacoes S/A</v>
      </c>
      <c r="C17" s="167" t="s">
        <v>164</v>
      </c>
      <c r="D17" s="167" t="s">
        <v>158</v>
      </c>
      <c r="E17" s="167" t="s">
        <v>159</v>
      </c>
      <c r="F17" s="167" t="s">
        <v>160</v>
      </c>
      <c r="G17" s="167" t="s">
        <v>131</v>
      </c>
    </row>
    <row r="18">
      <c r="A18" s="167" t="s">
        <v>165</v>
      </c>
      <c r="B18" s="167" t="str">
        <f>IFERROR(__xludf.DUMMYFUNCTION("GOOGLEFINANCE(A18,""Name"")"),"LITELA ON MB")</f>
        <v>LITELA ON MB</v>
      </c>
      <c r="C18" s="167" t="s">
        <v>166</v>
      </c>
      <c r="D18" s="167" t="s">
        <v>158</v>
      </c>
      <c r="E18" s="167" t="s">
        <v>159</v>
      </c>
      <c r="F18" s="167" t="s">
        <v>160</v>
      </c>
      <c r="G18" s="167" t="s">
        <v>131</v>
      </c>
    </row>
    <row r="19">
      <c r="A19" s="167" t="s">
        <v>167</v>
      </c>
      <c r="B19" s="167" t="str">
        <f>IFERROR(__xludf.DUMMYFUNCTION("GOOGLEFINANCE(A19,""Name"")"),"#N/A")</f>
        <v>#N/A</v>
      </c>
      <c r="C19" s="167" t="s">
        <v>168</v>
      </c>
      <c r="D19" s="167" t="s">
        <v>158</v>
      </c>
      <c r="E19" s="167" t="s">
        <v>159</v>
      </c>
      <c r="F19" s="167" t="s">
        <v>160</v>
      </c>
      <c r="G19" s="167" t="s">
        <v>131</v>
      </c>
    </row>
    <row r="20">
      <c r="A20" s="167" t="s">
        <v>169</v>
      </c>
      <c r="B20" s="167" t="str">
        <f>IFERROR(__xludf.DUMMYFUNCTION("GOOGLEFINANCE(A20,""Name"")"),"Vale Cedear")</f>
        <v>Vale Cedear</v>
      </c>
      <c r="C20" s="167" t="s">
        <v>170</v>
      </c>
      <c r="D20" s="167" t="s">
        <v>158</v>
      </c>
      <c r="E20" s="167" t="s">
        <v>159</v>
      </c>
      <c r="F20" s="167" t="s">
        <v>160</v>
      </c>
      <c r="G20" s="167" t="s">
        <v>131</v>
      </c>
    </row>
    <row r="21">
      <c r="A21" s="167" t="s">
        <v>171</v>
      </c>
      <c r="B21" s="167" t="str">
        <f>IFERROR(__xludf.DUMMYFUNCTION("GOOGLEFINANCE(A21,""Name"")"),"Companhia de Ferro Ligas da Bah Frbs")</f>
        <v>Companhia de Ferro Ligas da Bah Frbs</v>
      </c>
      <c r="C21" s="167" t="s">
        <v>172</v>
      </c>
      <c r="D21" s="167" t="s">
        <v>158</v>
      </c>
      <c r="E21" s="167" t="s">
        <v>173</v>
      </c>
      <c r="F21" s="167" t="s">
        <v>174</v>
      </c>
      <c r="G21" s="167" t="s">
        <v>131</v>
      </c>
    </row>
    <row r="22">
      <c r="A22" s="167" t="s">
        <v>175</v>
      </c>
      <c r="B22" s="167" t="str">
        <f>IFERROR(__xludf.DUMMYFUNCTION("GOOGLEFINANCE(A22,""Name"")"),"Companhia de Ferro Ligas da Bah Frbs Preference Shares")</f>
        <v>Companhia de Ferro Ligas da Bah Frbs Preference Shares</v>
      </c>
      <c r="C22" s="167" t="s">
        <v>172</v>
      </c>
      <c r="D22" s="167" t="s">
        <v>158</v>
      </c>
      <c r="E22" s="167" t="s">
        <v>173</v>
      </c>
      <c r="F22" s="167" t="s">
        <v>174</v>
      </c>
      <c r="G22" s="167" t="s">
        <v>131</v>
      </c>
    </row>
    <row r="23">
      <c r="A23" s="167" t="s">
        <v>176</v>
      </c>
      <c r="B23" s="167" t="str">
        <f>IFERROR(__xludf.DUMMYFUNCTION("GOOGLEFINANCE(A23,""Name"")"),"Gerdau SA")</f>
        <v>Gerdau SA</v>
      </c>
      <c r="C23" s="167" t="s">
        <v>178</v>
      </c>
      <c r="D23" s="167" t="s">
        <v>158</v>
      </c>
      <c r="E23" s="167" t="s">
        <v>173</v>
      </c>
      <c r="F23" s="167" t="s">
        <v>174</v>
      </c>
      <c r="G23" s="167" t="s">
        <v>131</v>
      </c>
    </row>
    <row r="24">
      <c r="A24" s="167" t="s">
        <v>179</v>
      </c>
      <c r="B24" s="167" t="str">
        <f>IFERROR(__xludf.DUMMYFUNCTION("GOOGLEFINANCE(A24,""Name"")"),"Gerdau SA Preference Shares")</f>
        <v>Gerdau SA Preference Shares</v>
      </c>
      <c r="C24" s="167" t="s">
        <v>178</v>
      </c>
      <c r="D24" s="167" t="s">
        <v>158</v>
      </c>
      <c r="E24" s="167" t="s">
        <v>173</v>
      </c>
      <c r="F24" s="167" t="s">
        <v>174</v>
      </c>
      <c r="G24" s="167" t="s">
        <v>131</v>
      </c>
    </row>
    <row r="25">
      <c r="A25" s="167" t="s">
        <v>180</v>
      </c>
      <c r="B25" s="167" t="str">
        <f>IFERROR(__xludf.DUMMYFUNCTION("GOOGLEFINANCE(A25,""Name"")"),"Metalurgica Gerdau SA")</f>
        <v>Metalurgica Gerdau SA</v>
      </c>
      <c r="C25" s="167" t="s">
        <v>181</v>
      </c>
      <c r="D25" s="167" t="s">
        <v>158</v>
      </c>
      <c r="E25" s="167" t="s">
        <v>173</v>
      </c>
      <c r="F25" s="167" t="s">
        <v>174</v>
      </c>
      <c r="G25" s="167" t="s">
        <v>131</v>
      </c>
    </row>
    <row r="26">
      <c r="A26" s="167" t="s">
        <v>182</v>
      </c>
      <c r="B26" s="167" t="str">
        <f>IFERROR(__xludf.DUMMYFUNCTION("GOOGLEFINANCE(A26,""Name"")"),"Metalurgica Gerdau SA Preference Shares")</f>
        <v>Metalurgica Gerdau SA Preference Shares</v>
      </c>
      <c r="C26" s="167" t="s">
        <v>181</v>
      </c>
      <c r="D26" s="167" t="s">
        <v>158</v>
      </c>
      <c r="E26" s="167" t="s">
        <v>173</v>
      </c>
      <c r="F26" s="167" t="s">
        <v>174</v>
      </c>
      <c r="G26" s="167" t="s">
        <v>131</v>
      </c>
    </row>
    <row r="27">
      <c r="A27" s="167" t="s">
        <v>183</v>
      </c>
      <c r="B27" s="167" t="str">
        <f>IFERROR(__xludf.DUMMYFUNCTION("GOOGLEFINANCE(A27,""Name"")"),"Cia Siderurgica Nacional Cedear")</f>
        <v>Cia Siderurgica Nacional Cedear</v>
      </c>
      <c r="C27" s="167" t="s">
        <v>184</v>
      </c>
      <c r="D27" s="167" t="s">
        <v>158</v>
      </c>
      <c r="E27" s="167" t="s">
        <v>173</v>
      </c>
      <c r="F27" s="167" t="s">
        <v>174</v>
      </c>
      <c r="G27" s="167" t="s">
        <v>131</v>
      </c>
    </row>
    <row r="28">
      <c r="A28" s="167" t="s">
        <v>185</v>
      </c>
      <c r="B28" s="167" t="str">
        <f>IFERROR(__xludf.DUMMYFUNCTION("GOOGLEFINANCE(A28,""Name"")"),"Usinas Siderurgicas de Mins Grs SA USMNS")</f>
        <v>Usinas Siderurgicas de Mins Grs SA USMNS</v>
      </c>
      <c r="C28" s="167" t="s">
        <v>186</v>
      </c>
      <c r="D28" s="167" t="s">
        <v>158</v>
      </c>
      <c r="E28" s="167" t="s">
        <v>173</v>
      </c>
      <c r="F28" s="167" t="s">
        <v>174</v>
      </c>
      <c r="G28" s="167" t="s">
        <v>131</v>
      </c>
    </row>
    <row r="29">
      <c r="A29" s="167" t="s">
        <v>187</v>
      </c>
      <c r="B29" s="167" t="str">
        <f>IFERROR(__xludf.DUMMYFUNCTION("GOOGLEFINANCE(A29,""Name"")"),"Usinas Siderurgicas de Mins Grs SA USMNS Preference Shares Class A")</f>
        <v>Usinas Siderurgicas de Mins Grs SA USMNS Preference Shares Class A</v>
      </c>
      <c r="C29" s="167" t="s">
        <v>186</v>
      </c>
      <c r="D29" s="167" t="s">
        <v>158</v>
      </c>
      <c r="E29" s="167" t="s">
        <v>173</v>
      </c>
      <c r="F29" s="167" t="s">
        <v>174</v>
      </c>
      <c r="G29" s="167" t="s">
        <v>131</v>
      </c>
    </row>
    <row r="30">
      <c r="A30" s="167" t="s">
        <v>188</v>
      </c>
      <c r="B30" s="167" t="str">
        <f>IFERROR(__xludf.DUMMYFUNCTION("GOOGLEFINANCE(A30,""Name"")"),"Usinas Siderurgicas de Mins Grs SA USMNS Preference Shares Class B")</f>
        <v>Usinas Siderurgicas de Mins Grs SA USMNS Preference Shares Class B</v>
      </c>
      <c r="C30" s="167" t="s">
        <v>186</v>
      </c>
      <c r="D30" s="167" t="s">
        <v>158</v>
      </c>
      <c r="E30" s="167" t="s">
        <v>173</v>
      </c>
      <c r="F30" s="167" t="s">
        <v>174</v>
      </c>
      <c r="G30" s="167" t="s">
        <v>131</v>
      </c>
    </row>
    <row r="31">
      <c r="A31" s="167" t="s">
        <v>189</v>
      </c>
      <c r="B31" s="167" t="str">
        <f>IFERROR(__xludf.DUMMYFUNCTION("GOOGLEFINANCE(A31,""Name"")"),"Mangels Industrial SA")</f>
        <v>Mangels Industrial SA</v>
      </c>
      <c r="C31" s="167" t="s">
        <v>190</v>
      </c>
      <c r="D31" s="167" t="s">
        <v>158</v>
      </c>
      <c r="E31" s="167" t="s">
        <v>173</v>
      </c>
      <c r="F31" s="167" t="s">
        <v>191</v>
      </c>
      <c r="G31" s="167" t="s">
        <v>131</v>
      </c>
    </row>
    <row r="32">
      <c r="A32" s="167" t="s">
        <v>192</v>
      </c>
      <c r="B32" s="167" t="str">
        <f>IFERROR(__xludf.DUMMYFUNCTION("GOOGLEFINANCE(A32,""Name"")"),"Mangels Industrial SA Preference Shares")</f>
        <v>Mangels Industrial SA Preference Shares</v>
      </c>
      <c r="C32" s="167" t="s">
        <v>190</v>
      </c>
      <c r="D32" s="167" t="s">
        <v>158</v>
      </c>
      <c r="E32" s="167" t="s">
        <v>173</v>
      </c>
      <c r="F32" s="167" t="s">
        <v>191</v>
      </c>
      <c r="G32" s="167" t="s">
        <v>131</v>
      </c>
    </row>
    <row r="33">
      <c r="A33" s="167" t="s">
        <v>194</v>
      </c>
      <c r="B33" s="167" t="str">
        <f>IFERROR(__xludf.DUMMYFUNCTION("GOOGLEFINANCE(A33,""Name"")"),"Panatlantica SA")</f>
        <v>Panatlantica SA</v>
      </c>
      <c r="C33" s="167" t="s">
        <v>195</v>
      </c>
      <c r="D33" s="167" t="s">
        <v>158</v>
      </c>
      <c r="E33" s="167" t="s">
        <v>173</v>
      </c>
      <c r="F33" s="167" t="s">
        <v>191</v>
      </c>
      <c r="G33" s="167" t="s">
        <v>131</v>
      </c>
    </row>
    <row r="34">
      <c r="A34" s="167" t="s">
        <v>196</v>
      </c>
      <c r="B34" s="167" t="str">
        <f>IFERROR(__xludf.DUMMYFUNCTION("GOOGLEFINANCE(A34,""Name"")"),"Panatlantica SA Preference Shares")</f>
        <v>Panatlantica SA Preference Shares</v>
      </c>
      <c r="C34" s="167" t="s">
        <v>195</v>
      </c>
      <c r="D34" s="167" t="s">
        <v>158</v>
      </c>
      <c r="E34" s="167" t="s">
        <v>173</v>
      </c>
      <c r="F34" s="167" t="s">
        <v>191</v>
      </c>
      <c r="G34" s="167" t="s">
        <v>131</v>
      </c>
    </row>
    <row r="35">
      <c r="A35" s="167" t="s">
        <v>197</v>
      </c>
      <c r="B35" s="167" t="str">
        <f>IFERROR(__xludf.DUMMYFUNCTION("GOOGLEFINANCE(A35,""Name"")"),"#N/A")</f>
        <v>#N/A</v>
      </c>
      <c r="C35" s="167" t="s">
        <v>198</v>
      </c>
      <c r="D35" s="167" t="s">
        <v>158</v>
      </c>
      <c r="E35" s="167" t="s">
        <v>173</v>
      </c>
      <c r="F35" s="167" t="s">
        <v>191</v>
      </c>
      <c r="G35" s="167" t="s">
        <v>131</v>
      </c>
    </row>
    <row r="36">
      <c r="A36" s="167" t="s">
        <v>199</v>
      </c>
      <c r="B36" s="167" t="str">
        <f>IFERROR(__xludf.DUMMYFUNCTION("GOOGLEFINANCE(A36,""Name"")"),"#N/A")</f>
        <v>#N/A</v>
      </c>
      <c r="C36" s="167" t="s">
        <v>198</v>
      </c>
      <c r="D36" s="167" t="s">
        <v>158</v>
      </c>
      <c r="E36" s="167" t="s">
        <v>173</v>
      </c>
      <c r="F36" s="167" t="s">
        <v>191</v>
      </c>
      <c r="G36" s="167" t="s">
        <v>131</v>
      </c>
    </row>
    <row r="37">
      <c r="A37" s="167" t="s">
        <v>200</v>
      </c>
      <c r="B37" s="167" t="str">
        <f>IFERROR(__xludf.DUMMYFUNCTION("GOOGLEFINANCE(A37,""Name"")"),"Paranapanema SA Em Recuperacao Judicial")</f>
        <v>Paranapanema SA Em Recuperacao Judicial</v>
      </c>
      <c r="C37" s="167" t="s">
        <v>201</v>
      </c>
      <c r="D37" s="167" t="s">
        <v>158</v>
      </c>
      <c r="E37" s="167" t="s">
        <v>173</v>
      </c>
      <c r="F37" s="167" t="s">
        <v>202</v>
      </c>
      <c r="G37" s="167" t="s">
        <v>131</v>
      </c>
    </row>
    <row r="38">
      <c r="A38" s="167" t="s">
        <v>203</v>
      </c>
      <c r="B38" s="167" t="str">
        <f>IFERROR(__xludf.DUMMYFUNCTION("GOOGLEFINANCE(A38,""Name"")"),"Braskem SA")</f>
        <v>Braskem SA</v>
      </c>
      <c r="C38" s="167" t="s">
        <v>204</v>
      </c>
      <c r="D38" s="167" t="s">
        <v>158</v>
      </c>
      <c r="E38" s="167" t="s">
        <v>205</v>
      </c>
      <c r="F38" s="167" t="s">
        <v>206</v>
      </c>
      <c r="G38" s="167" t="s">
        <v>131</v>
      </c>
    </row>
    <row r="39">
      <c r="A39" s="167" t="s">
        <v>207</v>
      </c>
      <c r="B39" s="167" t="str">
        <f>IFERROR(__xludf.DUMMYFUNCTION("GOOGLEFINANCE(A39,""Name"")"),"Braskem SA Preference Shares Class A")</f>
        <v>Braskem SA Preference Shares Class A</v>
      </c>
      <c r="C39" s="167" t="s">
        <v>204</v>
      </c>
      <c r="D39" s="167" t="s">
        <v>158</v>
      </c>
      <c r="E39" s="167" t="s">
        <v>205</v>
      </c>
      <c r="F39" s="167" t="s">
        <v>206</v>
      </c>
      <c r="G39" s="167" t="s">
        <v>131</v>
      </c>
    </row>
    <row r="40">
      <c r="A40" s="167" t="s">
        <v>208</v>
      </c>
      <c r="B40" s="167" t="str">
        <f>IFERROR(__xludf.DUMMYFUNCTION("GOOGLEFINANCE(A40,""Name"")"),"Braskem SA Preference Shares Class B")</f>
        <v>Braskem SA Preference Shares Class B</v>
      </c>
      <c r="C40" s="167" t="s">
        <v>204</v>
      </c>
      <c r="D40" s="167" t="s">
        <v>158</v>
      </c>
      <c r="E40" s="167" t="s">
        <v>205</v>
      </c>
      <c r="F40" s="167" t="s">
        <v>206</v>
      </c>
      <c r="G40" s="167" t="s">
        <v>131</v>
      </c>
    </row>
    <row r="41">
      <c r="A41" s="167" t="s">
        <v>209</v>
      </c>
      <c r="B41" s="167" t="str">
        <f>IFERROR(__xludf.DUMMYFUNCTION("GOOGLEFINANCE(A41,""Name"")"),"Elektro Redes SA")</f>
        <v>Elektro Redes SA</v>
      </c>
      <c r="C41" s="167" t="s">
        <v>210</v>
      </c>
      <c r="D41" s="167" t="s">
        <v>158</v>
      </c>
      <c r="E41" s="167" t="s">
        <v>205</v>
      </c>
      <c r="F41" s="167" t="s">
        <v>206</v>
      </c>
      <c r="G41" s="167" t="s">
        <v>131</v>
      </c>
    </row>
    <row r="42">
      <c r="A42" s="167" t="s">
        <v>211</v>
      </c>
      <c r="B42" s="167" t="str">
        <f>IFERROR(__xludf.DUMMYFUNCTION("GOOGLEFINANCE(A42,""Name"")"),"Elektro Redes SA Preference Shares")</f>
        <v>Elektro Redes SA Preference Shares</v>
      </c>
      <c r="C42" s="167" t="s">
        <v>210</v>
      </c>
      <c r="D42" s="167" t="s">
        <v>158</v>
      </c>
      <c r="E42" s="167" t="s">
        <v>205</v>
      </c>
      <c r="F42" s="167" t="s">
        <v>206</v>
      </c>
      <c r="G42" s="167" t="s">
        <v>131</v>
      </c>
    </row>
    <row r="43">
      <c r="A43" s="167" t="s">
        <v>212</v>
      </c>
      <c r="B43" s="167" t="str">
        <f>IFERROR(__xludf.DUMMYFUNCTION("GOOGLEFINANCE(A43,""Name"")"),"Dexxos Participacoes SA")</f>
        <v>Dexxos Participacoes SA</v>
      </c>
      <c r="C43" s="167" t="s">
        <v>213</v>
      </c>
      <c r="D43" s="167" t="s">
        <v>158</v>
      </c>
      <c r="E43" s="167" t="s">
        <v>205</v>
      </c>
      <c r="F43" s="167" t="s">
        <v>206</v>
      </c>
      <c r="G43" s="167" t="s">
        <v>131</v>
      </c>
    </row>
    <row r="44">
      <c r="A44" s="167" t="s">
        <v>216</v>
      </c>
      <c r="B44" s="167" t="str">
        <f>IFERROR(__xludf.DUMMYFUNCTION("GOOGLEFINANCE(A44,""Name"")"),"Dexxos Participacoes SA Preference Shares")</f>
        <v>Dexxos Participacoes SA Preference Shares</v>
      </c>
      <c r="C44" s="167" t="s">
        <v>213</v>
      </c>
      <c r="D44" s="167" t="s">
        <v>158</v>
      </c>
      <c r="E44" s="167" t="s">
        <v>205</v>
      </c>
      <c r="F44" s="167" t="s">
        <v>206</v>
      </c>
      <c r="G44" s="167" t="s">
        <v>131</v>
      </c>
    </row>
    <row r="45">
      <c r="A45" s="167" t="s">
        <v>217</v>
      </c>
      <c r="B45" s="167" t="str">
        <f>IFERROR(__xludf.DUMMYFUNCTION("GOOGLEFINANCE(A45,""Name"")"),"Fertilizantes Heringer SA")</f>
        <v>Fertilizantes Heringer SA</v>
      </c>
      <c r="C45" s="167" t="s">
        <v>218</v>
      </c>
      <c r="D45" s="167" t="s">
        <v>158</v>
      </c>
      <c r="E45" s="167" t="s">
        <v>205</v>
      </c>
      <c r="F45" s="167" t="s">
        <v>219</v>
      </c>
      <c r="G45" s="167" t="s">
        <v>131</v>
      </c>
    </row>
    <row r="46">
      <c r="A46" s="167" t="s">
        <v>220</v>
      </c>
      <c r="B46" s="167" t="str">
        <f>IFERROR(__xludf.DUMMYFUNCTION("GOOGLEFINANCE(A46,""Name"")"),"Nutriplant Industria e Comercio S/A")</f>
        <v>Nutriplant Industria e Comercio S/A</v>
      </c>
      <c r="C46" s="167" t="s">
        <v>222</v>
      </c>
      <c r="D46" s="167" t="s">
        <v>158</v>
      </c>
      <c r="E46" s="167" t="s">
        <v>205</v>
      </c>
      <c r="F46" s="167" t="s">
        <v>219</v>
      </c>
      <c r="G46" s="167" t="s">
        <v>131</v>
      </c>
    </row>
    <row r="47">
      <c r="A47" s="167" t="s">
        <v>224</v>
      </c>
      <c r="B47" s="167" t="str">
        <f>IFERROR(__xludf.DUMMYFUNCTION("GOOGLEFINANCE(A47,""Name"")"),"Tronox Pigmentos do Brasil SA")</f>
        <v>Tronox Pigmentos do Brasil SA</v>
      </c>
      <c r="C47" s="167" t="s">
        <v>225</v>
      </c>
      <c r="D47" s="167" t="s">
        <v>158</v>
      </c>
      <c r="E47" s="167" t="s">
        <v>205</v>
      </c>
      <c r="F47" s="167" t="s">
        <v>227</v>
      </c>
      <c r="G47" s="167" t="s">
        <v>131</v>
      </c>
    </row>
    <row r="48">
      <c r="A48" s="167" t="s">
        <v>228</v>
      </c>
      <c r="B48" s="167" t="str">
        <f>IFERROR(__xludf.DUMMYFUNCTION("GOOGLEFINANCE(A48,""Name"")"),"Cristal Pigmentos do Brasil Pref Shs A")</f>
        <v>Cristal Pigmentos do Brasil Pref Shs A</v>
      </c>
      <c r="C48" s="167" t="s">
        <v>225</v>
      </c>
      <c r="D48" s="167" t="s">
        <v>158</v>
      </c>
      <c r="E48" s="167" t="s">
        <v>205</v>
      </c>
      <c r="F48" s="167" t="s">
        <v>227</v>
      </c>
      <c r="G48" s="167" t="s">
        <v>131</v>
      </c>
    </row>
    <row r="49">
      <c r="A49" s="167" t="s">
        <v>229</v>
      </c>
      <c r="B49" s="167" t="str">
        <f>IFERROR(__xludf.DUMMYFUNCTION("GOOGLEFINANCE(A49,""Name"")"),"Cristal Pigmentos do Brasil Pref Shs B")</f>
        <v>Cristal Pigmentos do Brasil Pref Shs B</v>
      </c>
      <c r="C49" s="167" t="s">
        <v>225</v>
      </c>
      <c r="D49" s="167" t="s">
        <v>158</v>
      </c>
      <c r="E49" s="167" t="s">
        <v>205</v>
      </c>
      <c r="F49" s="167" t="s">
        <v>227</v>
      </c>
      <c r="G49" s="167" t="s">
        <v>131</v>
      </c>
    </row>
    <row r="50">
      <c r="A50" s="167" t="s">
        <v>231</v>
      </c>
      <c r="B50" s="167" t="str">
        <f>IFERROR(__xludf.DUMMYFUNCTION("GOOGLEFINANCE(A50,""Name"")"),"Unipar Carbocloro SA")</f>
        <v>Unipar Carbocloro SA</v>
      </c>
      <c r="C50" s="167" t="s">
        <v>232</v>
      </c>
      <c r="D50" s="167" t="s">
        <v>158</v>
      </c>
      <c r="E50" s="167" t="s">
        <v>205</v>
      </c>
      <c r="F50" s="167" t="s">
        <v>227</v>
      </c>
      <c r="G50" s="167" t="s">
        <v>131</v>
      </c>
    </row>
    <row r="51">
      <c r="A51" s="167" t="s">
        <v>233</v>
      </c>
      <c r="B51" s="167" t="str">
        <f>IFERROR(__xludf.DUMMYFUNCTION("GOOGLEFINANCE(A51,""Name"")"),"Unipar Carbocloro SA Preference Shares Class A")</f>
        <v>Unipar Carbocloro SA Preference Shares Class A</v>
      </c>
      <c r="C51" s="167" t="s">
        <v>232</v>
      </c>
      <c r="D51" s="167" t="s">
        <v>158</v>
      </c>
      <c r="E51" s="167" t="s">
        <v>205</v>
      </c>
      <c r="F51" s="167" t="s">
        <v>227</v>
      </c>
      <c r="G51" s="167" t="s">
        <v>131</v>
      </c>
    </row>
    <row r="52">
      <c r="A52" s="167" t="s">
        <v>234</v>
      </c>
      <c r="B52" s="167" t="str">
        <f>IFERROR(__xludf.DUMMYFUNCTION("GOOGLEFINANCE(A52,""Name"")"),"Unipar Carbocloro SA Preference Shares Class B")</f>
        <v>Unipar Carbocloro SA Preference Shares Class B</v>
      </c>
      <c r="C52" s="167" t="s">
        <v>232</v>
      </c>
      <c r="D52" s="167" t="s">
        <v>158</v>
      </c>
      <c r="E52" s="167" t="s">
        <v>205</v>
      </c>
      <c r="F52" s="167" t="s">
        <v>227</v>
      </c>
      <c r="G52" s="167" t="s">
        <v>131</v>
      </c>
    </row>
    <row r="53">
      <c r="A53" s="167" t="s">
        <v>236</v>
      </c>
      <c r="B53" s="167" t="str">
        <f>IFERROR(__xludf.DUMMYFUNCTION("GOOGLEFINANCE(A53,""Name"")"),"Dexco SA")</f>
        <v>Dexco SA</v>
      </c>
      <c r="C53" s="167" t="s">
        <v>237</v>
      </c>
      <c r="D53" s="167" t="s">
        <v>158</v>
      </c>
      <c r="E53" s="167" t="s">
        <v>238</v>
      </c>
      <c r="F53" s="167" t="s">
        <v>239</v>
      </c>
      <c r="G53" s="167" t="s">
        <v>131</v>
      </c>
    </row>
    <row r="54">
      <c r="A54" s="167" t="s">
        <v>241</v>
      </c>
      <c r="B54" s="167" t="str">
        <f>IFERROR(__xludf.DUMMYFUNCTION("GOOGLEFINANCE(A54,""Name"")"),"Eucatex SA Industria e Comercio")</f>
        <v>Eucatex SA Industria e Comercio</v>
      </c>
      <c r="C54" s="167" t="s">
        <v>242</v>
      </c>
      <c r="D54" s="167" t="s">
        <v>158</v>
      </c>
      <c r="E54" s="167" t="s">
        <v>238</v>
      </c>
      <c r="F54" s="167" t="s">
        <v>239</v>
      </c>
      <c r="G54" s="167" t="s">
        <v>131</v>
      </c>
    </row>
    <row r="55">
      <c r="A55" s="167" t="s">
        <v>243</v>
      </c>
      <c r="B55" s="167" t="str">
        <f>IFERROR(__xludf.DUMMYFUNCTION("GOOGLEFINANCE(A55,""Name"")"),"Eucatex SA Industria e Comercio Preference Shares")</f>
        <v>Eucatex SA Industria e Comercio Preference Shares</v>
      </c>
      <c r="C55" s="167" t="s">
        <v>242</v>
      </c>
      <c r="D55" s="167" t="s">
        <v>158</v>
      </c>
      <c r="E55" s="167" t="s">
        <v>238</v>
      </c>
      <c r="F55" s="167" t="s">
        <v>239</v>
      </c>
      <c r="G55" s="167" t="s">
        <v>131</v>
      </c>
    </row>
    <row r="56">
      <c r="A56" s="167" t="s">
        <v>246</v>
      </c>
      <c r="B56" s="167" t="str">
        <f>IFERROR(__xludf.DUMMYFUNCTION("GOOGLEFINANCE(A56,""Name"")"),"Irani Papel e Embalagem SA")</f>
        <v>Irani Papel e Embalagem SA</v>
      </c>
      <c r="C56" s="167" t="s">
        <v>247</v>
      </c>
      <c r="D56" s="167" t="s">
        <v>158</v>
      </c>
      <c r="E56" s="167" t="s">
        <v>238</v>
      </c>
      <c r="F56" s="167" t="s">
        <v>248</v>
      </c>
      <c r="G56" s="167" t="s">
        <v>131</v>
      </c>
    </row>
    <row r="57">
      <c r="A57" s="167" t="s">
        <v>250</v>
      </c>
      <c r="B57" s="167" t="str">
        <f>IFERROR(__xludf.DUMMYFUNCTION("GOOGLEFINANCE(A57,""Name"")"),"#N/A")</f>
        <v>#N/A</v>
      </c>
      <c r="C57" s="167" t="s">
        <v>247</v>
      </c>
      <c r="D57" s="167" t="s">
        <v>158</v>
      </c>
      <c r="E57" s="167" t="s">
        <v>238</v>
      </c>
      <c r="F57" s="167" t="s">
        <v>248</v>
      </c>
      <c r="G57" s="167" t="s">
        <v>131</v>
      </c>
    </row>
    <row r="58">
      <c r="A58" s="167" t="s">
        <v>252</v>
      </c>
      <c r="B58" s="167" t="str">
        <f>IFERROR(__xludf.DUMMYFUNCTION("GOOGLEFINANCE(A58,""Name"")"),"Klabin SA")</f>
        <v>Klabin SA</v>
      </c>
      <c r="C58" s="167" t="s">
        <v>253</v>
      </c>
      <c r="D58" s="167" t="s">
        <v>158</v>
      </c>
      <c r="E58" s="167" t="s">
        <v>238</v>
      </c>
      <c r="F58" s="167" t="s">
        <v>248</v>
      </c>
      <c r="G58" s="167" t="s">
        <v>131</v>
      </c>
    </row>
    <row r="59">
      <c r="A59" s="167" t="s">
        <v>255</v>
      </c>
      <c r="B59" s="167" t="str">
        <f>IFERROR(__xludf.DUMMYFUNCTION("GOOGLEFINANCE(A59,""Name"")"),"Klabin SA Preference Shares")</f>
        <v>Klabin SA Preference Shares</v>
      </c>
      <c r="C59" s="167" t="s">
        <v>253</v>
      </c>
      <c r="D59" s="167" t="s">
        <v>158</v>
      </c>
      <c r="E59" s="167" t="s">
        <v>238</v>
      </c>
      <c r="F59" s="167" t="s">
        <v>248</v>
      </c>
      <c r="G59" s="167" t="s">
        <v>131</v>
      </c>
    </row>
    <row r="60">
      <c r="A60" s="167" t="s">
        <v>256</v>
      </c>
      <c r="B60" s="167" t="str">
        <f>IFERROR(__xludf.DUMMYFUNCTION("GOOGLEFINANCE(A60,""Name"")"),"Klabin SA Unit")</f>
        <v>Klabin SA Unit</v>
      </c>
      <c r="C60" s="167" t="s">
        <v>253</v>
      </c>
      <c r="D60" s="167" t="s">
        <v>158</v>
      </c>
      <c r="E60" s="167" t="s">
        <v>238</v>
      </c>
      <c r="F60" s="167" t="s">
        <v>248</v>
      </c>
      <c r="G60" s="167" t="s">
        <v>131</v>
      </c>
    </row>
    <row r="61">
      <c r="A61" s="167" t="s">
        <v>258</v>
      </c>
      <c r="B61" s="167" t="str">
        <f>IFERROR(__xludf.DUMMYFUNCTION("GOOGLEFINANCE(A61,""Name"")"),"Companhia Melhoramentos de Sao Paulo")</f>
        <v>Companhia Melhoramentos de Sao Paulo</v>
      </c>
      <c r="C61" s="167" t="s">
        <v>259</v>
      </c>
      <c r="D61" s="167" t="s">
        <v>158</v>
      </c>
      <c r="E61" s="167" t="s">
        <v>238</v>
      </c>
      <c r="F61" s="167" t="s">
        <v>248</v>
      </c>
      <c r="G61" s="167" t="s">
        <v>131</v>
      </c>
    </row>
    <row r="62">
      <c r="A62" s="167" t="s">
        <v>258</v>
      </c>
      <c r="B62" s="167" t="str">
        <f>IFERROR(__xludf.DUMMYFUNCTION("GOOGLEFINANCE(A62,""Name"")"),"Companhia Melhoramentos de Sao Paulo")</f>
        <v>Companhia Melhoramentos de Sao Paulo</v>
      </c>
      <c r="C62" s="167" t="s">
        <v>259</v>
      </c>
      <c r="D62" s="167" t="s">
        <v>158</v>
      </c>
      <c r="E62" s="167" t="s">
        <v>238</v>
      </c>
      <c r="F62" s="167" t="s">
        <v>248</v>
      </c>
      <c r="G62" s="167" t="s">
        <v>131</v>
      </c>
    </row>
    <row r="63">
      <c r="A63" s="167" t="s">
        <v>260</v>
      </c>
      <c r="B63" s="167" t="str">
        <f>IFERROR(__xludf.DUMMYFUNCTION("GOOGLEFINANCE(A63,""Name"")"),"Suzano Holding SA")</f>
        <v>Suzano Holding SA</v>
      </c>
      <c r="C63" s="167" t="s">
        <v>261</v>
      </c>
      <c r="D63" s="167" t="s">
        <v>158</v>
      </c>
      <c r="E63" s="167" t="s">
        <v>238</v>
      </c>
      <c r="F63" s="167" t="s">
        <v>248</v>
      </c>
      <c r="G63" s="167" t="s">
        <v>131</v>
      </c>
    </row>
    <row r="64">
      <c r="A64" s="167" t="s">
        <v>262</v>
      </c>
      <c r="B64" s="167" t="str">
        <f>IFERROR(__xludf.DUMMYFUNCTION("GOOGLEFINANCE(A64,""Name"")"),"#N/A")</f>
        <v>#N/A</v>
      </c>
      <c r="C64" s="167" t="s">
        <v>261</v>
      </c>
      <c r="D64" s="167" t="s">
        <v>158</v>
      </c>
      <c r="E64" s="167" t="s">
        <v>238</v>
      </c>
      <c r="F64" s="167" t="s">
        <v>248</v>
      </c>
      <c r="G64" s="167" t="s">
        <v>131</v>
      </c>
    </row>
    <row r="65">
      <c r="A65" s="167" t="s">
        <v>263</v>
      </c>
      <c r="B65" s="167" t="str">
        <f>IFERROR(__xludf.DUMMYFUNCTION("GOOGLEFINANCE(A65,""Name"")"),"#N/A")</f>
        <v>#N/A</v>
      </c>
      <c r="C65" s="167" t="s">
        <v>261</v>
      </c>
      <c r="D65" s="167" t="s">
        <v>158</v>
      </c>
      <c r="E65" s="167" t="s">
        <v>238</v>
      </c>
      <c r="F65" s="167" t="s">
        <v>248</v>
      </c>
      <c r="G65" s="167" t="s">
        <v>131</v>
      </c>
    </row>
    <row r="66">
      <c r="A66" s="167" t="s">
        <v>264</v>
      </c>
      <c r="B66" s="167" t="str">
        <f>IFERROR(__xludf.DUMMYFUNCTION("GOOGLEFINANCE(A66,""Name"")"),"Suzano Cedear")</f>
        <v>Suzano Cedear</v>
      </c>
      <c r="C66" s="167" t="s">
        <v>265</v>
      </c>
      <c r="D66" s="167" t="s">
        <v>158</v>
      </c>
      <c r="E66" s="167" t="s">
        <v>238</v>
      </c>
      <c r="F66" s="167" t="s">
        <v>248</v>
      </c>
      <c r="G66" s="167" t="s">
        <v>131</v>
      </c>
    </row>
    <row r="67">
      <c r="A67" s="167" t="s">
        <v>266</v>
      </c>
      <c r="B67" s="167" t="str">
        <f>IFERROR(__xludf.DUMMYFUNCTION("GOOGLEFINANCE(A67,""Name"")"),"#N/A")</f>
        <v>#N/A</v>
      </c>
      <c r="C67" s="167" t="s">
        <v>267</v>
      </c>
      <c r="D67" s="167" t="s">
        <v>158</v>
      </c>
      <c r="E67" s="167" t="s">
        <v>268</v>
      </c>
      <c r="F67" s="167" t="s">
        <v>268</v>
      </c>
      <c r="G67" s="167" t="s">
        <v>131</v>
      </c>
    </row>
    <row r="68">
      <c r="A68" s="167" t="s">
        <v>269</v>
      </c>
      <c r="B68" s="167" t="str">
        <f>IFERROR(__xludf.DUMMYFUNCTION("GOOGLEFINANCE(A68,""Name"")"),"#N/A")</f>
        <v>#N/A</v>
      </c>
      <c r="C68" s="167" t="s">
        <v>267</v>
      </c>
      <c r="D68" s="167" t="s">
        <v>158</v>
      </c>
      <c r="E68" s="167" t="s">
        <v>268</v>
      </c>
      <c r="F68" s="167" t="s">
        <v>268</v>
      </c>
      <c r="G68" s="167" t="s">
        <v>131</v>
      </c>
    </row>
    <row r="69">
      <c r="A69" s="167" t="s">
        <v>270</v>
      </c>
      <c r="B69" s="167" t="str">
        <f>IFERROR(__xludf.DUMMYFUNCTION("GOOGLEFINANCE(A69,""Name"")"),"Sansuy S/A Industria de Plasticos")</f>
        <v>Sansuy S/A Industria de Plasticos</v>
      </c>
      <c r="C69" s="167" t="s">
        <v>271</v>
      </c>
      <c r="D69" s="167" t="s">
        <v>158</v>
      </c>
      <c r="E69" s="167" t="s">
        <v>272</v>
      </c>
      <c r="F69" s="167" t="s">
        <v>272</v>
      </c>
      <c r="G69" s="167" t="s">
        <v>131</v>
      </c>
    </row>
    <row r="70">
      <c r="A70" s="167" t="s">
        <v>273</v>
      </c>
      <c r="B70" s="167" t="str">
        <f>IFERROR(__xludf.DUMMYFUNCTION("GOOGLEFINANCE(A70,""Name"")"),"Sansuy S/A Industria de Plasticos Preference Shares Class A")</f>
        <v>Sansuy S/A Industria de Plasticos Preference Shares Class A</v>
      </c>
      <c r="C70" s="167" t="s">
        <v>271</v>
      </c>
      <c r="D70" s="167" t="s">
        <v>158</v>
      </c>
      <c r="E70" s="167" t="s">
        <v>272</v>
      </c>
      <c r="F70" s="167" t="s">
        <v>272</v>
      </c>
      <c r="G70" s="167" t="s">
        <v>131</v>
      </c>
    </row>
    <row r="71">
      <c r="A71" s="167" t="s">
        <v>274</v>
      </c>
      <c r="B71" s="167" t="str">
        <f>IFERROR(__xludf.DUMMYFUNCTION("GOOGLEFINANCE(A71,""Name"")"),"Sansuy S/A Industria de Plasticos Preference Shares Class B")</f>
        <v>Sansuy S/A Industria de Plasticos Preference Shares Class B</v>
      </c>
      <c r="C71" s="167" t="s">
        <v>271</v>
      </c>
      <c r="D71" s="167" t="s">
        <v>158</v>
      </c>
      <c r="E71" s="167" t="s">
        <v>272</v>
      </c>
      <c r="F71" s="167" t="s">
        <v>272</v>
      </c>
      <c r="G71" s="167" t="s">
        <v>131</v>
      </c>
    </row>
    <row r="72">
      <c r="A72" s="167" t="s">
        <v>275</v>
      </c>
      <c r="B72" s="167" t="str">
        <f>IFERROR(__xludf.DUMMYFUNCTION("GOOGLEFINANCE(A72,""Name"")"),"Eternit SA em Recuperacao Judicial")</f>
        <v>Eternit SA em Recuperacao Judicial</v>
      </c>
      <c r="C72" s="167" t="s">
        <v>276</v>
      </c>
      <c r="D72" s="167" t="s">
        <v>277</v>
      </c>
      <c r="E72" s="167" t="s">
        <v>278</v>
      </c>
      <c r="F72" s="167" t="s">
        <v>279</v>
      </c>
      <c r="G72" s="167" t="s">
        <v>131</v>
      </c>
    </row>
    <row r="73">
      <c r="A73" s="167" t="s">
        <v>280</v>
      </c>
      <c r="B73" s="167" t="str">
        <f>IFERROR(__xludf.DUMMYFUNCTION("GOOGLEFINANCE(A73,""Name"")"),"Haga SA Industria e Comercio")</f>
        <v>Haga SA Industria e Comercio</v>
      </c>
      <c r="C73" s="167" t="s">
        <v>281</v>
      </c>
      <c r="D73" s="167" t="s">
        <v>277</v>
      </c>
      <c r="E73" s="167" t="s">
        <v>278</v>
      </c>
      <c r="F73" s="167" t="s">
        <v>279</v>
      </c>
      <c r="G73" s="167" t="s">
        <v>131</v>
      </c>
    </row>
    <row r="74">
      <c r="A74" s="167" t="s">
        <v>282</v>
      </c>
      <c r="B74" s="167" t="str">
        <f>IFERROR(__xludf.DUMMYFUNCTION("GOOGLEFINANCE(A74,""Name"")"),"Haga SA Industria e Comercio Preference Shares")</f>
        <v>Haga SA Industria e Comercio Preference Shares</v>
      </c>
      <c r="C74" s="167" t="s">
        <v>281</v>
      </c>
      <c r="D74" s="167" t="s">
        <v>277</v>
      </c>
      <c r="E74" s="167" t="s">
        <v>278</v>
      </c>
      <c r="F74" s="167" t="s">
        <v>279</v>
      </c>
      <c r="G74" s="167" t="s">
        <v>131</v>
      </c>
    </row>
    <row r="75">
      <c r="A75" s="167" t="s">
        <v>283</v>
      </c>
      <c r="B75" s="167" t="str">
        <f>IFERROR(__xludf.DUMMYFUNCTION("GOOGLEFINANCE(A75,""Name"")"),"PBG SA")</f>
        <v>PBG SA</v>
      </c>
      <c r="C75" s="167" t="s">
        <v>284</v>
      </c>
      <c r="D75" s="167" t="s">
        <v>277</v>
      </c>
      <c r="E75" s="167" t="s">
        <v>278</v>
      </c>
      <c r="F75" s="167" t="s">
        <v>279</v>
      </c>
      <c r="G75" s="167" t="s">
        <v>131</v>
      </c>
    </row>
    <row r="76">
      <c r="A76" s="167" t="s">
        <v>285</v>
      </c>
      <c r="B76" s="167" t="str">
        <f>IFERROR(__xludf.DUMMYFUNCTION("GOOGLEFINANCE(A76,""Name"")"),"Azevedo &amp; Travassos SA")</f>
        <v>Azevedo &amp; Travassos SA</v>
      </c>
      <c r="C76" s="167" t="s">
        <v>286</v>
      </c>
      <c r="D76" s="167" t="s">
        <v>277</v>
      </c>
      <c r="E76" s="167" t="s">
        <v>278</v>
      </c>
      <c r="F76" s="167" t="s">
        <v>287</v>
      </c>
      <c r="G76" s="167" t="s">
        <v>131</v>
      </c>
    </row>
    <row r="77">
      <c r="A77" s="167" t="s">
        <v>288</v>
      </c>
      <c r="B77" s="167" t="str">
        <f>IFERROR(__xludf.DUMMYFUNCTION("GOOGLEFINANCE(A77,""Name"")"),"Azevedo &amp; Travassos SA Preference Shares")</f>
        <v>Azevedo &amp; Travassos SA Preference Shares</v>
      </c>
      <c r="C77" s="167" t="s">
        <v>286</v>
      </c>
      <c r="D77" s="167" t="s">
        <v>277</v>
      </c>
      <c r="E77" s="167" t="s">
        <v>278</v>
      </c>
      <c r="F77" s="167" t="s">
        <v>287</v>
      </c>
      <c r="G77" s="167" t="s">
        <v>131</v>
      </c>
    </row>
    <row r="78">
      <c r="A78" s="167" t="s">
        <v>289</v>
      </c>
      <c r="B78" s="167" t="str">
        <f>IFERROR(__xludf.DUMMYFUNCTION("GOOGLEFINANCE(A78,""Name"")"),"Sondotecnica Engenharia de Solos SA")</f>
        <v>Sondotecnica Engenharia de Solos SA</v>
      </c>
      <c r="C78" s="167" t="s">
        <v>290</v>
      </c>
      <c r="D78" s="167" t="s">
        <v>277</v>
      </c>
      <c r="E78" s="167" t="s">
        <v>278</v>
      </c>
      <c r="F78" s="167" t="s">
        <v>291</v>
      </c>
      <c r="G78" s="167" t="s">
        <v>131</v>
      </c>
    </row>
    <row r="79">
      <c r="A79" s="167" t="s">
        <v>292</v>
      </c>
      <c r="B79" s="167" t="str">
        <f>IFERROR(__xludf.DUMMYFUNCTION("GOOGLEFINANCE(A79,""Name"")"),"Sondotecnica Engenharia de Solos SA Preference Shares Class A")</f>
        <v>Sondotecnica Engenharia de Solos SA Preference Shares Class A</v>
      </c>
      <c r="C79" s="167" t="s">
        <v>290</v>
      </c>
      <c r="D79" s="167" t="s">
        <v>277</v>
      </c>
      <c r="E79" s="167" t="s">
        <v>278</v>
      </c>
      <c r="F79" s="167" t="s">
        <v>291</v>
      </c>
      <c r="G79" s="167" t="s">
        <v>131</v>
      </c>
    </row>
    <row r="80">
      <c r="A80" s="167" t="s">
        <v>293</v>
      </c>
      <c r="B80" s="167" t="str">
        <f>IFERROR(__xludf.DUMMYFUNCTION("GOOGLEFINANCE(A80,""Name"")"),"Sondotecnica Engenharia de Solos SA Preference Shares Class B")</f>
        <v>Sondotecnica Engenharia de Solos SA Preference Shares Class B</v>
      </c>
      <c r="C80" s="167" t="s">
        <v>290</v>
      </c>
      <c r="D80" s="167" t="s">
        <v>277</v>
      </c>
      <c r="E80" s="167" t="s">
        <v>278</v>
      </c>
      <c r="F80" s="167" t="s">
        <v>291</v>
      </c>
      <c r="G80" s="167" t="s">
        <v>131</v>
      </c>
    </row>
    <row r="81">
      <c r="A81" s="167" t="s">
        <v>294</v>
      </c>
      <c r="B81" s="167" t="str">
        <f>IFERROR(__xludf.DUMMYFUNCTION("GOOGLEFINANCE(A81,""Name"")"),"#N/A")</f>
        <v>#N/A</v>
      </c>
      <c r="C81" s="167" t="s">
        <v>295</v>
      </c>
      <c r="D81" s="167" t="s">
        <v>277</v>
      </c>
      <c r="E81" s="167" t="s">
        <v>278</v>
      </c>
      <c r="F81" s="167" t="s">
        <v>291</v>
      </c>
      <c r="G81" s="167" t="s">
        <v>131</v>
      </c>
    </row>
    <row r="82">
      <c r="A82" s="167" t="s">
        <v>296</v>
      </c>
      <c r="B82" s="167" t="str">
        <f>IFERROR(__xludf.DUMMYFUNCTION("GOOGLEFINANCE(A82,""Name"")"),"#N/A")</f>
        <v>#N/A</v>
      </c>
      <c r="C82" s="167" t="s">
        <v>295</v>
      </c>
      <c r="D82" s="167" t="s">
        <v>277</v>
      </c>
      <c r="E82" s="167" t="s">
        <v>278</v>
      </c>
      <c r="F82" s="167" t="s">
        <v>291</v>
      </c>
      <c r="G82" s="167" t="s">
        <v>131</v>
      </c>
    </row>
    <row r="83">
      <c r="A83" s="167" t="s">
        <v>297</v>
      </c>
      <c r="B83" s="167" t="str">
        <f>IFERROR(__xludf.DUMMYFUNCTION("GOOGLEFINANCE(A83,""Name"")"),"Mills Locacao Servicos E Logistica SA")</f>
        <v>Mills Locacao Servicos E Logistica SA</v>
      </c>
      <c r="C83" s="167" t="s">
        <v>298</v>
      </c>
      <c r="D83" s="167" t="s">
        <v>277</v>
      </c>
      <c r="E83" s="167" t="s">
        <v>278</v>
      </c>
      <c r="F83" s="167" t="s">
        <v>299</v>
      </c>
      <c r="G83" s="167" t="s">
        <v>131</v>
      </c>
    </row>
    <row r="84">
      <c r="A84" s="167" t="s">
        <v>300</v>
      </c>
      <c r="B84" s="167" t="str">
        <f>IFERROR(__xludf.DUMMYFUNCTION("GOOGLEFINANCE(A84,""Name"")"),"#N/A")</f>
        <v>#N/A</v>
      </c>
      <c r="C84" s="167" t="s">
        <v>301</v>
      </c>
      <c r="D84" s="167" t="s">
        <v>277</v>
      </c>
      <c r="E84" s="167" t="s">
        <v>302</v>
      </c>
      <c r="F84" s="167" t="s">
        <v>303</v>
      </c>
      <c r="G84" s="167" t="s">
        <v>131</v>
      </c>
    </row>
    <row r="85">
      <c r="A85" s="167" t="s">
        <v>304</v>
      </c>
      <c r="B85" s="167" t="str">
        <f>IFERROR(__xludf.DUMMYFUNCTION("GOOGLEFINANCE(A85,""Name"")"),"Frasle Mobility SA")</f>
        <v>Frasle Mobility SA</v>
      </c>
      <c r="C85" s="167" t="s">
        <v>305</v>
      </c>
      <c r="D85" s="167" t="s">
        <v>277</v>
      </c>
      <c r="E85" s="167" t="s">
        <v>302</v>
      </c>
      <c r="F85" s="167" t="s">
        <v>306</v>
      </c>
      <c r="G85" s="167" t="s">
        <v>131</v>
      </c>
    </row>
    <row r="86">
      <c r="A86" s="167" t="s">
        <v>307</v>
      </c>
      <c r="B86" s="167" t="str">
        <f>IFERROR(__xludf.DUMMYFUNCTION("GOOGLEFINANCE(A86,""Name"")"),"Marcopolo SA")</f>
        <v>Marcopolo SA</v>
      </c>
      <c r="C86" s="167" t="s">
        <v>308</v>
      </c>
      <c r="D86" s="167" t="s">
        <v>277</v>
      </c>
      <c r="E86" s="167" t="s">
        <v>302</v>
      </c>
      <c r="F86" s="167" t="s">
        <v>306</v>
      </c>
      <c r="G86" s="167" t="s">
        <v>131</v>
      </c>
    </row>
    <row r="87">
      <c r="A87" s="167" t="s">
        <v>309</v>
      </c>
      <c r="B87" s="167" t="str">
        <f>IFERROR(__xludf.DUMMYFUNCTION("GOOGLEFINANCE(A87,""Name"")"),"Marcopolo SA Preference Shares")</f>
        <v>Marcopolo SA Preference Shares</v>
      </c>
      <c r="C87" s="167" t="s">
        <v>308</v>
      </c>
      <c r="D87" s="167" t="s">
        <v>277</v>
      </c>
      <c r="E87" s="167" t="s">
        <v>302</v>
      </c>
      <c r="F87" s="167" t="s">
        <v>306</v>
      </c>
      <c r="G87" s="167" t="s">
        <v>131</v>
      </c>
    </row>
    <row r="88">
      <c r="A88" s="167" t="s">
        <v>310</v>
      </c>
      <c r="B88" s="167" t="str">
        <f>IFERROR(__xludf.DUMMYFUNCTION("GOOGLEFINANCE(A88,""Name"")"),"Randoncorp SA")</f>
        <v>Randoncorp SA</v>
      </c>
      <c r="C88" s="167" t="s">
        <v>311</v>
      </c>
      <c r="D88" s="167" t="s">
        <v>277</v>
      </c>
      <c r="E88" s="167" t="s">
        <v>302</v>
      </c>
      <c r="F88" s="167" t="s">
        <v>306</v>
      </c>
      <c r="G88" s="167" t="s">
        <v>131</v>
      </c>
    </row>
    <row r="89">
      <c r="A89" s="167" t="s">
        <v>312</v>
      </c>
      <c r="B89" s="167" t="str">
        <f>IFERROR(__xludf.DUMMYFUNCTION("GOOGLEFINANCE(A89,""Name"")"),"Randoncorp SA Preference Shares")</f>
        <v>Randoncorp SA Preference Shares</v>
      </c>
      <c r="C89" s="167" t="s">
        <v>311</v>
      </c>
      <c r="D89" s="167" t="s">
        <v>277</v>
      </c>
      <c r="E89" s="167" t="s">
        <v>302</v>
      </c>
      <c r="F89" s="167" t="s">
        <v>306</v>
      </c>
      <c r="G89" s="167" t="s">
        <v>131</v>
      </c>
    </row>
    <row r="90">
      <c r="A90" s="167" t="s">
        <v>313</v>
      </c>
      <c r="B90" s="167" t="str">
        <f>IFERROR(__xludf.DUMMYFUNCTION("GOOGLEFINANCE(A90,""Name"")"),"Recrusul SA")</f>
        <v>Recrusul SA</v>
      </c>
      <c r="C90" s="167" t="s">
        <v>314</v>
      </c>
      <c r="D90" s="167" t="s">
        <v>277</v>
      </c>
      <c r="E90" s="167" t="s">
        <v>302</v>
      </c>
      <c r="F90" s="167" t="s">
        <v>306</v>
      </c>
      <c r="G90" s="167" t="s">
        <v>131</v>
      </c>
    </row>
    <row r="91">
      <c r="A91" s="167" t="s">
        <v>315</v>
      </c>
      <c r="B91" s="167" t="str">
        <f>IFERROR(__xludf.DUMMYFUNCTION("GOOGLEFINANCE(A91,""Name"")"),"Recrusul SA Preference Shares")</f>
        <v>Recrusul SA Preference Shares</v>
      </c>
      <c r="C91" s="167" t="s">
        <v>314</v>
      </c>
      <c r="D91" s="167" t="s">
        <v>277</v>
      </c>
      <c r="E91" s="167" t="s">
        <v>302</v>
      </c>
      <c r="F91" s="167" t="s">
        <v>306</v>
      </c>
      <c r="G91" s="167" t="s">
        <v>131</v>
      </c>
    </row>
    <row r="92">
      <c r="A92" s="167" t="s">
        <v>316</v>
      </c>
      <c r="B92" s="167" t="str">
        <f>IFERROR(__xludf.DUMMYFUNCTION("GOOGLEFINANCE(A92,""Name"")"),"Metalurgica Riosulense SA")</f>
        <v>Metalurgica Riosulense SA</v>
      </c>
      <c r="C92" s="167" t="s">
        <v>317</v>
      </c>
      <c r="D92" s="167" t="s">
        <v>277</v>
      </c>
      <c r="E92" s="167" t="s">
        <v>302</v>
      </c>
      <c r="F92" s="167" t="s">
        <v>306</v>
      </c>
      <c r="G92" s="167" t="s">
        <v>131</v>
      </c>
    </row>
    <row r="93">
      <c r="A93" s="167" t="s">
        <v>318</v>
      </c>
      <c r="B93" s="167" t="str">
        <f>IFERROR(__xludf.DUMMYFUNCTION("GOOGLEFINANCE(A93,""Name"")"),"Metalurgica Riosulense SA Preference Shares")</f>
        <v>Metalurgica Riosulense SA Preference Shares</v>
      </c>
      <c r="C93" s="167" t="s">
        <v>317</v>
      </c>
      <c r="D93" s="167" t="s">
        <v>277</v>
      </c>
      <c r="E93" s="167" t="s">
        <v>302</v>
      </c>
      <c r="F93" s="167" t="s">
        <v>306</v>
      </c>
      <c r="G93" s="167" t="s">
        <v>131</v>
      </c>
    </row>
    <row r="94">
      <c r="A94" s="167" t="s">
        <v>319</v>
      </c>
      <c r="B94" s="167" t="str">
        <f>IFERROR(__xludf.DUMMYFUNCTION("GOOGLEFINANCE(A94,""Name"")"),"Tupy SA")</f>
        <v>Tupy SA</v>
      </c>
      <c r="C94" s="167" t="s">
        <v>320</v>
      </c>
      <c r="D94" s="167" t="s">
        <v>277</v>
      </c>
      <c r="E94" s="167" t="s">
        <v>302</v>
      </c>
      <c r="F94" s="167" t="s">
        <v>306</v>
      </c>
      <c r="G94" s="167" t="s">
        <v>131</v>
      </c>
    </row>
    <row r="95">
      <c r="A95" s="167" t="s">
        <v>321</v>
      </c>
      <c r="B95" s="167" t="str">
        <f>IFERROR(__xludf.DUMMYFUNCTION("GOOGLEFINANCE(A95,""Name"")"),"Wetzel SA")</f>
        <v>Wetzel SA</v>
      </c>
      <c r="C95" s="167" t="s">
        <v>322</v>
      </c>
      <c r="D95" s="167" t="s">
        <v>277</v>
      </c>
      <c r="E95" s="167" t="s">
        <v>302</v>
      </c>
      <c r="F95" s="167" t="s">
        <v>306</v>
      </c>
      <c r="G95" s="167" t="s">
        <v>131</v>
      </c>
    </row>
    <row r="96">
      <c r="A96" s="167" t="s">
        <v>323</v>
      </c>
      <c r="B96" s="167" t="str">
        <f>IFERROR(__xludf.DUMMYFUNCTION("GOOGLEFINANCE(A96,""Name"")"),"Wetzel SA Preference Shares")</f>
        <v>Wetzel SA Preference Shares</v>
      </c>
      <c r="C96" s="167" t="s">
        <v>322</v>
      </c>
      <c r="D96" s="167" t="s">
        <v>277</v>
      </c>
      <c r="E96" s="167" t="s">
        <v>302</v>
      </c>
      <c r="F96" s="167" t="s">
        <v>306</v>
      </c>
      <c r="G96" s="167" t="s">
        <v>131</v>
      </c>
    </row>
    <row r="97">
      <c r="A97" s="167" t="s">
        <v>324</v>
      </c>
      <c r="B97" s="167" t="str">
        <f>IFERROR(__xludf.DUMMYFUNCTION("GOOGLEFINANCE(A97,""Name"")"),"Schulz SA Preference Shares")</f>
        <v>Schulz SA Preference Shares</v>
      </c>
      <c r="C97" s="167" t="s">
        <v>325</v>
      </c>
      <c r="D97" s="167" t="s">
        <v>277</v>
      </c>
      <c r="E97" s="167" t="s">
        <v>326</v>
      </c>
      <c r="F97" s="167" t="s">
        <v>249</v>
      </c>
      <c r="G97" s="167" t="s">
        <v>131</v>
      </c>
    </row>
    <row r="98">
      <c r="A98" s="167" t="s">
        <v>86</v>
      </c>
      <c r="B98" s="167" t="str">
        <f>IFERROR(__xludf.DUMMYFUNCTION("GOOGLEFINANCE(A98,""Name"")"),"Weg Cedear")</f>
        <v>Weg Cedear</v>
      </c>
      <c r="C98" s="167" t="s">
        <v>327</v>
      </c>
      <c r="D98" s="167" t="s">
        <v>277</v>
      </c>
      <c r="E98" s="167" t="s">
        <v>326</v>
      </c>
      <c r="F98" s="167" t="s">
        <v>249</v>
      </c>
      <c r="G98" s="167" t="s">
        <v>131</v>
      </c>
    </row>
    <row r="99">
      <c r="A99" s="167" t="s">
        <v>328</v>
      </c>
      <c r="B99" s="167" t="str">
        <f>IFERROR(__xludf.DUMMYFUNCTION("GOOGLEFINANCE(A99,""Name"")"),"Electro Aco Altona SA")</f>
        <v>Electro Aco Altona SA</v>
      </c>
      <c r="C99" s="167" t="s">
        <v>329</v>
      </c>
      <c r="D99" s="167" t="s">
        <v>277</v>
      </c>
      <c r="E99" s="167" t="s">
        <v>326</v>
      </c>
      <c r="F99" s="167" t="s">
        <v>330</v>
      </c>
      <c r="G99" s="167" t="s">
        <v>131</v>
      </c>
    </row>
    <row r="100">
      <c r="A100" s="167" t="s">
        <v>331</v>
      </c>
      <c r="B100" s="167" t="str">
        <f>IFERROR(__xludf.DUMMYFUNCTION("GOOGLEFINANCE(A100,""Name"")"),"Electro Aco Altona SA Preference Shares")</f>
        <v>Electro Aco Altona SA Preference Shares</v>
      </c>
      <c r="C100" s="167" t="s">
        <v>329</v>
      </c>
      <c r="D100" s="167" t="s">
        <v>277</v>
      </c>
      <c r="E100" s="167" t="s">
        <v>326</v>
      </c>
      <c r="F100" s="167" t="s">
        <v>330</v>
      </c>
      <c r="G100" s="167" t="s">
        <v>131</v>
      </c>
    </row>
    <row r="101">
      <c r="A101" s="167" t="s">
        <v>332</v>
      </c>
      <c r="B101" s="167" t="str">
        <f>IFERROR(__xludf.DUMMYFUNCTION("GOOGLEFINANCE(A101,""Name"")"),"Bardella SA Indstrs Mcncs em Rprc Jdcl Preference Shares")</f>
        <v>Bardella SA Indstrs Mcncs em Rprc Jdcl Preference Shares</v>
      </c>
      <c r="C101" s="167" t="s">
        <v>333</v>
      </c>
      <c r="D101" s="167" t="s">
        <v>277</v>
      </c>
      <c r="E101" s="167" t="s">
        <v>326</v>
      </c>
      <c r="F101" s="167" t="s">
        <v>330</v>
      </c>
      <c r="G101" s="167" t="s">
        <v>131</v>
      </c>
    </row>
    <row r="102">
      <c r="A102" s="167" t="s">
        <v>332</v>
      </c>
      <c r="B102" s="167" t="str">
        <f>IFERROR(__xludf.DUMMYFUNCTION("GOOGLEFINANCE(A102,""Name"")"),"Bardella SA Indstrs Mcncs em Rprc Jdcl Preference Shares")</f>
        <v>Bardella SA Indstrs Mcncs em Rprc Jdcl Preference Shares</v>
      </c>
      <c r="C102" s="167" t="s">
        <v>333</v>
      </c>
      <c r="D102" s="167" t="s">
        <v>277</v>
      </c>
      <c r="E102" s="167" t="s">
        <v>326</v>
      </c>
      <c r="F102" s="167" t="s">
        <v>330</v>
      </c>
      <c r="G102" s="167" t="s">
        <v>131</v>
      </c>
    </row>
    <row r="103">
      <c r="A103" s="167" t="s">
        <v>334</v>
      </c>
      <c r="B103" s="167" t="str">
        <f>IFERROR(__xludf.DUMMYFUNCTION("GOOGLEFINANCE(A103,""Name"")"),"Romi SA")</f>
        <v>Romi SA</v>
      </c>
      <c r="C103" s="167" t="s">
        <v>335</v>
      </c>
      <c r="D103" s="167" t="s">
        <v>277</v>
      </c>
      <c r="E103" s="167" t="s">
        <v>326</v>
      </c>
      <c r="F103" s="167" t="s">
        <v>330</v>
      </c>
      <c r="G103" s="167" t="s">
        <v>131</v>
      </c>
    </row>
    <row r="104">
      <c r="A104" s="167" t="s">
        <v>336</v>
      </c>
      <c r="B104" s="167" t="str">
        <f>IFERROR(__xludf.DUMMYFUNCTION("GOOGLEFINANCE(A104,""Name"")"),"Inepr SA Indstr e Constrs em Rcprco Jdcl")</f>
        <v>Inepr SA Indstr e Constrs em Rcprco Jdcl</v>
      </c>
      <c r="C104" s="167" t="s">
        <v>337</v>
      </c>
      <c r="D104" s="167" t="s">
        <v>277</v>
      </c>
      <c r="E104" s="167" t="s">
        <v>326</v>
      </c>
      <c r="F104" s="167" t="s">
        <v>330</v>
      </c>
      <c r="G104" s="167" t="s">
        <v>131</v>
      </c>
    </row>
    <row r="105">
      <c r="A105" s="167" t="s">
        <v>338</v>
      </c>
      <c r="B105" s="167" t="str">
        <f>IFERROR(__xludf.DUMMYFUNCTION("GOOGLEFINANCE(A105,""Name"")"),"Inepr SA Indstr e Constrs em Rcprco Jdcl Preference Shares")</f>
        <v>Inepr SA Indstr e Constrs em Rcprco Jdcl Preference Shares</v>
      </c>
      <c r="C105" s="167" t="s">
        <v>337</v>
      </c>
      <c r="D105" s="167" t="s">
        <v>277</v>
      </c>
      <c r="E105" s="167" t="s">
        <v>326</v>
      </c>
      <c r="F105" s="167" t="s">
        <v>330</v>
      </c>
      <c r="G105" s="167" t="s">
        <v>131</v>
      </c>
    </row>
    <row r="106">
      <c r="A106" s="167" t="s">
        <v>339</v>
      </c>
      <c r="B106" s="167" t="str">
        <f>IFERROR(__xludf.DUMMYFUNCTION("GOOGLEFINANCE(A106,""Name"")"),"Kepler Weber SA")</f>
        <v>Kepler Weber SA</v>
      </c>
      <c r="C106" s="167" t="s">
        <v>340</v>
      </c>
      <c r="D106" s="167" t="s">
        <v>277</v>
      </c>
      <c r="E106" s="167" t="s">
        <v>326</v>
      </c>
      <c r="F106" s="167" t="s">
        <v>330</v>
      </c>
      <c r="G106" s="167" t="s">
        <v>131</v>
      </c>
    </row>
    <row r="107">
      <c r="A107" s="167" t="s">
        <v>341</v>
      </c>
      <c r="B107" s="167" t="str">
        <f>IFERROR(__xludf.DUMMYFUNCTION("GOOGLEFINANCE(A107,""Name"")"),"Metalfrio Solutions SA")</f>
        <v>Metalfrio Solutions SA</v>
      </c>
      <c r="C107" s="167" t="s">
        <v>342</v>
      </c>
      <c r="D107" s="167" t="s">
        <v>277</v>
      </c>
      <c r="E107" s="167" t="s">
        <v>326</v>
      </c>
      <c r="F107" s="167" t="s">
        <v>330</v>
      </c>
      <c r="G107" s="167" t="s">
        <v>131</v>
      </c>
    </row>
    <row r="108">
      <c r="A108" s="167" t="s">
        <v>343</v>
      </c>
      <c r="B108" s="167" t="str">
        <f>IFERROR(__xludf.DUMMYFUNCTION("GOOGLEFINANCE(A108,""Name"")"),"Nordon Industrias Metalurgicas SA")</f>
        <v>Nordon Industrias Metalurgicas SA</v>
      </c>
      <c r="C108" s="167" t="s">
        <v>344</v>
      </c>
      <c r="D108" s="167" t="s">
        <v>277</v>
      </c>
      <c r="E108" s="167" t="s">
        <v>326</v>
      </c>
      <c r="F108" s="167" t="s">
        <v>330</v>
      </c>
      <c r="G108" s="167" t="s">
        <v>131</v>
      </c>
    </row>
    <row r="109">
      <c r="A109" s="167" t="s">
        <v>345</v>
      </c>
      <c r="B109" s="167" t="str">
        <f>IFERROR(__xludf.DUMMYFUNCTION("GOOGLEFINANCE(A109,""Name"")"),"Pratica Produtos SA")</f>
        <v>Pratica Produtos SA</v>
      </c>
      <c r="C109" s="167" t="s">
        <v>346</v>
      </c>
      <c r="D109" s="167" t="s">
        <v>277</v>
      </c>
      <c r="E109" s="167" t="s">
        <v>326</v>
      </c>
      <c r="F109" s="167" t="s">
        <v>330</v>
      </c>
      <c r="G109" s="167" t="s">
        <v>131</v>
      </c>
    </row>
    <row r="110">
      <c r="A110" s="167" t="s">
        <v>347</v>
      </c>
      <c r="B110" s="167" t="str">
        <f>IFERROR(__xludf.DUMMYFUNCTION("GOOGLEFINANCE(A110,""Name"")"),"#N/A")</f>
        <v>#N/A</v>
      </c>
      <c r="C110" s="167" t="s">
        <v>346</v>
      </c>
      <c r="D110" s="167" t="s">
        <v>277</v>
      </c>
      <c r="E110" s="167" t="s">
        <v>326</v>
      </c>
      <c r="F110" s="167" t="s">
        <v>330</v>
      </c>
      <c r="G110" s="167" t="s">
        <v>131</v>
      </c>
    </row>
    <row r="111">
      <c r="A111" s="167" t="s">
        <v>348</v>
      </c>
      <c r="B111" s="167" t="str">
        <f>IFERROR(__xludf.DUMMYFUNCTION("GOOGLEFINANCE(A111,""Name"")"),"Metisa Metalurgica Timboense SA")</f>
        <v>Metisa Metalurgica Timboense SA</v>
      </c>
      <c r="C111" s="167" t="s">
        <v>349</v>
      </c>
      <c r="D111" s="167" t="s">
        <v>277</v>
      </c>
      <c r="E111" s="167" t="s">
        <v>326</v>
      </c>
      <c r="F111" s="167" t="s">
        <v>350</v>
      </c>
      <c r="G111" s="167" t="s">
        <v>131</v>
      </c>
    </row>
    <row r="112">
      <c r="A112" s="167" t="s">
        <v>351</v>
      </c>
      <c r="B112" s="167" t="str">
        <f>IFERROR(__xludf.DUMMYFUNCTION("GOOGLEFINANCE(A112,""Name"")"),"Metisa Metalurgica Timboense SA Preference Shares")</f>
        <v>Metisa Metalurgica Timboense SA Preference Shares</v>
      </c>
      <c r="C112" s="167" t="s">
        <v>349</v>
      </c>
      <c r="D112" s="167" t="s">
        <v>277</v>
      </c>
      <c r="E112" s="167" t="s">
        <v>326</v>
      </c>
      <c r="F112" s="167" t="s">
        <v>350</v>
      </c>
      <c r="G112" s="167" t="s">
        <v>131</v>
      </c>
    </row>
    <row r="113">
      <c r="A113" s="167" t="s">
        <v>352</v>
      </c>
      <c r="B113" s="167" t="str">
        <f>IFERROR(__xludf.DUMMYFUNCTION("GOOGLEFINANCE(A113,""Name"")"),"#N/A")</f>
        <v>#N/A</v>
      </c>
      <c r="C113" s="167" t="s">
        <v>353</v>
      </c>
      <c r="D113" s="167" t="s">
        <v>277</v>
      </c>
      <c r="E113" s="167" t="s">
        <v>326</v>
      </c>
      <c r="F113" s="167" t="s">
        <v>350</v>
      </c>
      <c r="G113" s="167" t="s">
        <v>131</v>
      </c>
    </row>
    <row r="114">
      <c r="A114" s="167" t="s">
        <v>354</v>
      </c>
      <c r="B114" s="167" t="str">
        <f>IFERROR(__xludf.DUMMYFUNCTION("GOOGLEFINANCE(A114,""Name"")"),"Taurus Armas SA")</f>
        <v>Taurus Armas SA</v>
      </c>
      <c r="C114" s="167" t="s">
        <v>355</v>
      </c>
      <c r="D114" s="167" t="s">
        <v>277</v>
      </c>
      <c r="E114" s="167" t="s">
        <v>326</v>
      </c>
      <c r="F114" s="167" t="s">
        <v>356</v>
      </c>
      <c r="G114" s="167" t="s">
        <v>131</v>
      </c>
    </row>
    <row r="115">
      <c r="A115" s="167" t="s">
        <v>357</v>
      </c>
      <c r="B115" s="167" t="str">
        <f>IFERROR(__xludf.DUMMYFUNCTION("GOOGLEFINANCE(A115,""Name"")"),"Taurus Armas SA Preference Shares")</f>
        <v>Taurus Armas SA Preference Shares</v>
      </c>
      <c r="C115" s="167" t="s">
        <v>355</v>
      </c>
      <c r="D115" s="167" t="s">
        <v>277</v>
      </c>
      <c r="E115" s="167" t="s">
        <v>326</v>
      </c>
      <c r="F115" s="167" t="s">
        <v>356</v>
      </c>
      <c r="G115" s="167" t="s">
        <v>131</v>
      </c>
    </row>
    <row r="116">
      <c r="A116" s="167" t="s">
        <v>358</v>
      </c>
      <c r="B116" s="167" t="str">
        <f>IFERROR(__xludf.DUMMYFUNCTION("GOOGLEFINANCE(A116,""Name"")"),"#N/A")</f>
        <v>#N/A</v>
      </c>
      <c r="C116" s="167" t="s">
        <v>359</v>
      </c>
      <c r="D116" s="167" t="s">
        <v>277</v>
      </c>
      <c r="E116" s="167" t="s">
        <v>360</v>
      </c>
      <c r="F116" s="167" t="s">
        <v>361</v>
      </c>
      <c r="G116" s="167" t="s">
        <v>131</v>
      </c>
    </row>
    <row r="117">
      <c r="A117" s="167" t="s">
        <v>362</v>
      </c>
      <c r="B117" s="167" t="str">
        <f>IFERROR(__xludf.DUMMYFUNCTION("GOOGLEFINANCE(A117,""Name"")"),"#N/A")</f>
        <v>#N/A</v>
      </c>
      <c r="C117" s="167" t="s">
        <v>363</v>
      </c>
      <c r="D117" s="167" t="s">
        <v>277</v>
      </c>
      <c r="E117" s="167" t="s">
        <v>360</v>
      </c>
      <c r="F117" s="167" t="s">
        <v>361</v>
      </c>
      <c r="G117" s="167" t="s">
        <v>131</v>
      </c>
    </row>
    <row r="118">
      <c r="A118" s="167" t="s">
        <v>364</v>
      </c>
      <c r="B118" s="167" t="str">
        <f>IFERROR(__xludf.DUMMYFUNCTION("GOOGLEFINANCE(A118,""Name"")"),"#N/A")</f>
        <v>#N/A</v>
      </c>
      <c r="C118" s="167" t="s">
        <v>365</v>
      </c>
      <c r="D118" s="167" t="s">
        <v>277</v>
      </c>
      <c r="E118" s="167" t="s">
        <v>360</v>
      </c>
      <c r="F118" s="167" t="s">
        <v>366</v>
      </c>
      <c r="G118" s="167" t="s">
        <v>131</v>
      </c>
    </row>
    <row r="119">
      <c r="A119" s="167" t="s">
        <v>367</v>
      </c>
      <c r="B119" s="167" t="str">
        <f>IFERROR(__xludf.DUMMYFUNCTION("GOOGLEFINANCE(A119,""Name"")"),"#N/A")</f>
        <v>#N/A</v>
      </c>
      <c r="C119" s="167" t="s">
        <v>365</v>
      </c>
      <c r="D119" s="167" t="s">
        <v>277</v>
      </c>
      <c r="E119" s="167" t="s">
        <v>360</v>
      </c>
      <c r="F119" s="167" t="s">
        <v>366</v>
      </c>
      <c r="G119" s="167" t="s">
        <v>131</v>
      </c>
    </row>
    <row r="120">
      <c r="A120" s="167" t="s">
        <v>368</v>
      </c>
      <c r="B120" s="167" t="str">
        <f>IFERROR(__xludf.DUMMYFUNCTION("GOOGLEFINANCE(A120,""Name"")"),"#N/A")</f>
        <v>#N/A</v>
      </c>
      <c r="C120" s="167" t="s">
        <v>365</v>
      </c>
      <c r="D120" s="167" t="s">
        <v>277</v>
      </c>
      <c r="E120" s="167" t="s">
        <v>360</v>
      </c>
      <c r="F120" s="167" t="s">
        <v>366</v>
      </c>
      <c r="G120" s="167" t="s">
        <v>131</v>
      </c>
    </row>
    <row r="121">
      <c r="A121" s="167" t="s">
        <v>369</v>
      </c>
      <c r="B121" s="167" t="str">
        <f>IFERROR(__xludf.DUMMYFUNCTION("GOOGLEFINANCE(A121,""Name"")"),"#N/A")</f>
        <v>#N/A</v>
      </c>
      <c r="C121" s="167" t="s">
        <v>370</v>
      </c>
      <c r="D121" s="167" t="s">
        <v>277</v>
      </c>
      <c r="E121" s="167" t="s">
        <v>360</v>
      </c>
      <c r="F121" s="167" t="s">
        <v>366</v>
      </c>
      <c r="G121" s="167" t="s">
        <v>131</v>
      </c>
    </row>
    <row r="122">
      <c r="A122" s="167" t="s">
        <v>371</v>
      </c>
      <c r="B122" s="167" t="str">
        <f>IFERROR(__xludf.DUMMYFUNCTION("GOOGLEFINANCE(A122,""Name"")"),"Ferrovia Centro-Atlantica SA")</f>
        <v>Ferrovia Centro-Atlantica SA</v>
      </c>
      <c r="C122" s="167" t="s">
        <v>372</v>
      </c>
      <c r="D122" s="167" t="s">
        <v>277</v>
      </c>
      <c r="E122" s="167" t="s">
        <v>360</v>
      </c>
      <c r="F122" s="167" t="s">
        <v>366</v>
      </c>
      <c r="G122" s="167" t="s">
        <v>131</v>
      </c>
    </row>
    <row r="123">
      <c r="A123" s="167" t="s">
        <v>373</v>
      </c>
      <c r="B123" s="167" t="str">
        <f>IFERROR(__xludf.DUMMYFUNCTION("GOOGLEFINANCE(A123,""Name"")"),"Ferrovia Centro-Atlantica SA Preference Shares")</f>
        <v>Ferrovia Centro-Atlantica SA Preference Shares</v>
      </c>
      <c r="C123" s="167" t="s">
        <v>372</v>
      </c>
      <c r="D123" s="167" t="s">
        <v>277</v>
      </c>
      <c r="E123" s="167" t="s">
        <v>360</v>
      </c>
      <c r="F123" s="167" t="s">
        <v>366</v>
      </c>
      <c r="G123" s="167" t="s">
        <v>131</v>
      </c>
    </row>
    <row r="124">
      <c r="A124" s="167" t="s">
        <v>374</v>
      </c>
      <c r="B124" s="167" t="str">
        <f>IFERROR(__xludf.DUMMYFUNCTION("GOOGLEFINANCE(A124,""Name"")"),"MRS Logistica S/A")</f>
        <v>MRS Logistica S/A</v>
      </c>
      <c r="C124" s="167" t="s">
        <v>375</v>
      </c>
      <c r="D124" s="167" t="s">
        <v>277</v>
      </c>
      <c r="E124" s="167" t="s">
        <v>360</v>
      </c>
      <c r="F124" s="167" t="s">
        <v>366</v>
      </c>
      <c r="G124" s="167" t="s">
        <v>131</v>
      </c>
    </row>
    <row r="125">
      <c r="A125" s="167" t="s">
        <v>376</v>
      </c>
      <c r="B125" s="167" t="str">
        <f>IFERROR(__xludf.DUMMYFUNCTION("GOOGLEFINANCE(A125,""Name"")"),"MRS Logística")</f>
        <v>MRS Logística</v>
      </c>
      <c r="C125" s="167" t="s">
        <v>375</v>
      </c>
      <c r="D125" s="167" t="s">
        <v>277</v>
      </c>
      <c r="E125" s="167" t="s">
        <v>360</v>
      </c>
      <c r="F125" s="167" t="s">
        <v>366</v>
      </c>
      <c r="G125" s="167" t="s">
        <v>131</v>
      </c>
    </row>
    <row r="126">
      <c r="A126" s="167" t="s">
        <v>377</v>
      </c>
      <c r="B126" s="167" t="str">
        <f>IFERROR(__xludf.DUMMYFUNCTION("GOOGLEFINANCE(A126,""Name"")"),"MRS Logística")</f>
        <v>MRS Logística</v>
      </c>
      <c r="C126" s="167" t="s">
        <v>375</v>
      </c>
      <c r="D126" s="167" t="s">
        <v>277</v>
      </c>
      <c r="E126" s="167" t="s">
        <v>360</v>
      </c>
      <c r="F126" s="167" t="s">
        <v>366</v>
      </c>
      <c r="G126" s="167" t="s">
        <v>131</v>
      </c>
    </row>
    <row r="127">
      <c r="A127" s="167" t="s">
        <v>378</v>
      </c>
      <c r="B127" s="167" t="str">
        <f>IFERROR(__xludf.DUMMYFUNCTION("GOOGLEFINANCE(A127,""Name"")"),"Rumo SA")</f>
        <v>Rumo SA</v>
      </c>
      <c r="C127" s="167" t="s">
        <v>379</v>
      </c>
      <c r="D127" s="167" t="s">
        <v>277</v>
      </c>
      <c r="E127" s="167" t="s">
        <v>360</v>
      </c>
      <c r="F127" s="167" t="s">
        <v>366</v>
      </c>
      <c r="G127" s="167" t="s">
        <v>131</v>
      </c>
    </row>
    <row r="128">
      <c r="A128" s="167" t="s">
        <v>380</v>
      </c>
      <c r="B128" s="167" t="str">
        <f>IFERROR(__xludf.DUMMYFUNCTION("GOOGLEFINANCE(A128,""Name"")"),"Log-in Logistica Intermodal SA")</f>
        <v>Log-in Logistica Intermodal SA</v>
      </c>
      <c r="C128" s="167" t="s">
        <v>381</v>
      </c>
      <c r="D128" s="167" t="s">
        <v>277</v>
      </c>
      <c r="E128" s="167" t="s">
        <v>360</v>
      </c>
      <c r="F128" s="167" t="s">
        <v>382</v>
      </c>
      <c r="G128" s="167" t="s">
        <v>131</v>
      </c>
    </row>
    <row r="129">
      <c r="A129" s="167" t="s">
        <v>383</v>
      </c>
      <c r="B129" s="167" t="str">
        <f>IFERROR(__xludf.DUMMYFUNCTION("GOOGLEFINANCE(A129,""Name"")"),"Trevisa Investimentos SA")</f>
        <v>Trevisa Investimentos SA</v>
      </c>
      <c r="C129" s="167" t="s">
        <v>384</v>
      </c>
      <c r="D129" s="167" t="s">
        <v>277</v>
      </c>
      <c r="E129" s="167" t="s">
        <v>360</v>
      </c>
      <c r="F129" s="167" t="s">
        <v>382</v>
      </c>
      <c r="G129" s="167" t="s">
        <v>131</v>
      </c>
    </row>
    <row r="130">
      <c r="A130" s="167" t="s">
        <v>385</v>
      </c>
      <c r="B130" s="167" t="str">
        <f>IFERROR(__xludf.DUMMYFUNCTION("GOOGLEFINANCE(A130,""Name"")"),"Trevisa Investimentos SA Preference Shares")</f>
        <v>Trevisa Investimentos SA Preference Shares</v>
      </c>
      <c r="C130" s="167" t="s">
        <v>384</v>
      </c>
      <c r="D130" s="167" t="s">
        <v>277</v>
      </c>
      <c r="E130" s="167" t="s">
        <v>360</v>
      </c>
      <c r="F130" s="167" t="s">
        <v>382</v>
      </c>
      <c r="G130" s="167" t="s">
        <v>131</v>
      </c>
    </row>
    <row r="131">
      <c r="A131" s="167" t="s">
        <v>386</v>
      </c>
      <c r="B131" s="167" t="str">
        <f>IFERROR(__xludf.DUMMYFUNCTION("GOOGLEFINANCE(A131,""Name"")"),"JSL SA")</f>
        <v>JSL SA</v>
      </c>
      <c r="C131" s="167" t="s">
        <v>387</v>
      </c>
      <c r="D131" s="167" t="s">
        <v>277</v>
      </c>
      <c r="E131" s="167" t="s">
        <v>360</v>
      </c>
      <c r="F131" s="167" t="s">
        <v>388</v>
      </c>
      <c r="G131" s="167" t="s">
        <v>131</v>
      </c>
    </row>
    <row r="132">
      <c r="A132" s="167" t="s">
        <v>389</v>
      </c>
      <c r="B132" s="167" t="str">
        <f>IFERROR(__xludf.DUMMYFUNCTION("GOOGLEFINANCE(A132,""Name"")"),"Tegma Gestao Logistica SA")</f>
        <v>Tegma Gestao Logistica SA</v>
      </c>
      <c r="C132" s="167" t="s">
        <v>390</v>
      </c>
      <c r="D132" s="167" t="s">
        <v>277</v>
      </c>
      <c r="E132" s="167" t="s">
        <v>360</v>
      </c>
      <c r="F132" s="167" t="s">
        <v>388</v>
      </c>
      <c r="G132" s="167" t="s">
        <v>131</v>
      </c>
    </row>
    <row r="133">
      <c r="A133" s="167" t="s">
        <v>391</v>
      </c>
      <c r="B133" s="167" t="str">
        <f>IFERROR(__xludf.DUMMYFUNCTION("GOOGLEFINANCE(A133,""Name"")"),"#N/A")</f>
        <v>#N/A</v>
      </c>
      <c r="C133" s="167" t="s">
        <v>392</v>
      </c>
      <c r="D133" s="167" t="s">
        <v>277</v>
      </c>
      <c r="E133" s="167" t="s">
        <v>360</v>
      </c>
      <c r="F133" s="167" t="s">
        <v>393</v>
      </c>
      <c r="G133" s="167" t="s">
        <v>131</v>
      </c>
    </row>
    <row r="134">
      <c r="A134" s="167" t="s">
        <v>394</v>
      </c>
      <c r="B134" s="167" t="str">
        <f>IFERROR(__xludf.DUMMYFUNCTION("GOOGLEFINANCE(A134,""Name"")"),"#N/A")</f>
        <v>#N/A</v>
      </c>
      <c r="C134" s="167" t="s">
        <v>395</v>
      </c>
      <c r="D134" s="167" t="s">
        <v>277</v>
      </c>
      <c r="E134" s="167" t="s">
        <v>360</v>
      </c>
      <c r="F134" s="167" t="s">
        <v>393</v>
      </c>
      <c r="G134" s="167" t="s">
        <v>131</v>
      </c>
    </row>
    <row r="135">
      <c r="A135" s="167" t="s">
        <v>396</v>
      </c>
      <c r="B135" s="167" t="str">
        <f>IFERROR(__xludf.DUMMYFUNCTION("GOOGLEFINANCE(A135,""Name"")"),"#N/A")</f>
        <v>#N/A</v>
      </c>
      <c r="C135" s="167" t="s">
        <v>395</v>
      </c>
      <c r="D135" s="167" t="s">
        <v>277</v>
      </c>
      <c r="E135" s="167" t="s">
        <v>360</v>
      </c>
      <c r="F135" s="167" t="s">
        <v>393</v>
      </c>
      <c r="G135" s="167" t="s">
        <v>131</v>
      </c>
    </row>
    <row r="136">
      <c r="A136" s="167" t="s">
        <v>397</v>
      </c>
      <c r="B136" s="167" t="str">
        <f>IFERROR(__xludf.DUMMYFUNCTION("GOOGLEFINANCE(A136,""Name"")"),"Ecorodovias Infraestrutura e Logistca SA")</f>
        <v>Ecorodovias Infraestrutura e Logistca SA</v>
      </c>
      <c r="C136" s="167" t="s">
        <v>398</v>
      </c>
      <c r="D136" s="167" t="s">
        <v>277</v>
      </c>
      <c r="E136" s="167" t="s">
        <v>360</v>
      </c>
      <c r="F136" s="167" t="s">
        <v>393</v>
      </c>
      <c r="G136" s="167" t="s">
        <v>131</v>
      </c>
    </row>
    <row r="137">
      <c r="A137" s="167" t="s">
        <v>399</v>
      </c>
      <c r="B137" s="167" t="str">
        <f>IFERROR(__xludf.DUMMYFUNCTION("GOOGLEFINANCE(A137,""Name"")"),"TPI Triunfo Participacoes e Invstmnts SA")</f>
        <v>TPI Triunfo Participacoes e Invstmnts SA</v>
      </c>
      <c r="C137" s="167" t="s">
        <v>400</v>
      </c>
      <c r="D137" s="167" t="s">
        <v>277</v>
      </c>
      <c r="E137" s="167" t="s">
        <v>360</v>
      </c>
      <c r="F137" s="167" t="s">
        <v>393</v>
      </c>
      <c r="G137" s="167" t="s">
        <v>131</v>
      </c>
    </row>
    <row r="138">
      <c r="A138" s="167" t="s">
        <v>401</v>
      </c>
      <c r="B138" s="167" t="str">
        <f>IFERROR(__xludf.DUMMYFUNCTION("GOOGLEFINANCE(A138,""Name"")"),"Investimentos  Prtcpcs m nfrstrtr S NVPR")</f>
        <v>Investimentos  Prtcpcs m nfrstrtr S NVPR</v>
      </c>
      <c r="C138" s="167" t="s">
        <v>402</v>
      </c>
      <c r="D138" s="167" t="s">
        <v>277</v>
      </c>
      <c r="E138" s="167" t="s">
        <v>360</v>
      </c>
      <c r="F138" s="167" t="s">
        <v>403</v>
      </c>
      <c r="G138" s="167" t="s">
        <v>131</v>
      </c>
    </row>
    <row r="139">
      <c r="A139" s="167" t="s">
        <v>404</v>
      </c>
      <c r="B139" s="167" t="str">
        <f>IFERROR(__xludf.DUMMYFUNCTION("GOOGLEFINANCE(A139,""Name"")"),"Investimentos  Prtcpcs m nfrstrtr S NVPR Preference Shares")</f>
        <v>Investimentos  Prtcpcs m nfrstrtr S NVPR Preference Shares</v>
      </c>
      <c r="C139" s="167" t="s">
        <v>402</v>
      </c>
      <c r="D139" s="167" t="s">
        <v>277</v>
      </c>
      <c r="E139" s="167" t="s">
        <v>360</v>
      </c>
      <c r="F139" s="167" t="s">
        <v>403</v>
      </c>
      <c r="G139" s="167" t="s">
        <v>131</v>
      </c>
    </row>
    <row r="140">
      <c r="A140" s="167" t="s">
        <v>405</v>
      </c>
      <c r="B140" s="167" t="str">
        <f>IFERROR(__xludf.DUMMYFUNCTION("GOOGLEFINANCE(A140,""Name"")"),"#N/A")</f>
        <v>#N/A</v>
      </c>
      <c r="C140" s="167" t="s">
        <v>406</v>
      </c>
      <c r="D140" s="167" t="s">
        <v>277</v>
      </c>
      <c r="E140" s="167" t="s">
        <v>360</v>
      </c>
      <c r="F140" s="167" t="s">
        <v>403</v>
      </c>
      <c r="G140" s="167" t="s">
        <v>131</v>
      </c>
    </row>
    <row r="141">
      <c r="A141" s="167" t="s">
        <v>407</v>
      </c>
      <c r="B141" s="167" t="str">
        <f>IFERROR(__xludf.DUMMYFUNCTION("GOOGLEFINANCE(A141,""Name"")"),"#N/A")</f>
        <v>#N/A</v>
      </c>
      <c r="C141" s="167" t="s">
        <v>408</v>
      </c>
      <c r="D141" s="167" t="s">
        <v>277</v>
      </c>
      <c r="E141" s="167" t="s">
        <v>360</v>
      </c>
      <c r="F141" s="167" t="s">
        <v>403</v>
      </c>
      <c r="G141" s="167" t="s">
        <v>131</v>
      </c>
    </row>
    <row r="142">
      <c r="A142" s="167" t="s">
        <v>409</v>
      </c>
      <c r="B142" s="167" t="str">
        <f>IFERROR(__xludf.DUMMYFUNCTION("GOOGLEFINANCE(A142,""Name"")"),"BBM Logistica SA")</f>
        <v>BBM Logistica SA</v>
      </c>
      <c r="C142" s="167" t="s">
        <v>410</v>
      </c>
      <c r="D142" s="167" t="s">
        <v>277</v>
      </c>
      <c r="E142" s="167" t="s">
        <v>299</v>
      </c>
      <c r="F142" s="167" t="s">
        <v>299</v>
      </c>
      <c r="G142" s="167" t="s">
        <v>131</v>
      </c>
    </row>
    <row r="143">
      <c r="A143" s="167" t="s">
        <v>411</v>
      </c>
      <c r="B143" s="167" t="str">
        <f>IFERROR(__xludf.DUMMYFUNCTION("GOOGLEFINANCE(A143,""Name"")"),"#N/A")</f>
        <v>#N/A</v>
      </c>
      <c r="C143" s="167" t="s">
        <v>412</v>
      </c>
      <c r="D143" s="167" t="s">
        <v>277</v>
      </c>
      <c r="E143" s="167" t="s">
        <v>299</v>
      </c>
      <c r="F143" s="167" t="s">
        <v>299</v>
      </c>
      <c r="G143" s="167" t="s">
        <v>131</v>
      </c>
    </row>
    <row r="144">
      <c r="A144" s="167" t="s">
        <v>413</v>
      </c>
      <c r="B144" s="167" t="str">
        <f>IFERROR(__xludf.DUMMYFUNCTION("GOOGLEFINANCE(A144,""Name"")"),"#N/A")</f>
        <v>#N/A</v>
      </c>
      <c r="C144" s="167" t="s">
        <v>414</v>
      </c>
      <c r="D144" s="167" t="s">
        <v>277</v>
      </c>
      <c r="E144" s="167" t="s">
        <v>299</v>
      </c>
      <c r="F144" s="167" t="s">
        <v>299</v>
      </c>
      <c r="G144" s="167" t="s">
        <v>131</v>
      </c>
    </row>
    <row r="145">
      <c r="A145" s="167" t="s">
        <v>415</v>
      </c>
      <c r="B145" s="167" t="str">
        <f>IFERROR(__xludf.DUMMYFUNCTION("GOOGLEFINANCE(A145,""Name"")"),"Priner Servicos Industriais SA")</f>
        <v>Priner Servicos Industriais SA</v>
      </c>
      <c r="C145" s="167" t="s">
        <v>416</v>
      </c>
      <c r="D145" s="167" t="s">
        <v>277</v>
      </c>
      <c r="E145" s="167" t="s">
        <v>299</v>
      </c>
      <c r="F145" s="167" t="s">
        <v>299</v>
      </c>
      <c r="G145" s="167" t="s">
        <v>131</v>
      </c>
    </row>
    <row r="146">
      <c r="A146" s="167" t="s">
        <v>417</v>
      </c>
      <c r="B146" s="167" t="str">
        <f>IFERROR(__xludf.DUMMYFUNCTION("GOOGLEFINANCE(A146,""Name"")"),"Valid Solucoes SA")</f>
        <v>Valid Solucoes SA</v>
      </c>
      <c r="C146" s="167" t="s">
        <v>418</v>
      </c>
      <c r="D146" s="167" t="s">
        <v>277</v>
      </c>
      <c r="E146" s="167" t="s">
        <v>299</v>
      </c>
      <c r="F146" s="167" t="s">
        <v>299</v>
      </c>
      <c r="G146" s="167" t="s">
        <v>131</v>
      </c>
    </row>
    <row r="147">
      <c r="A147" s="167" t="s">
        <v>419</v>
      </c>
      <c r="B147" s="167" t="str">
        <f>IFERROR(__xludf.DUMMYFUNCTION("GOOGLEFINANCE(A147,""Name"")"),"#N/A")</f>
        <v>#N/A</v>
      </c>
      <c r="C147" s="167" t="s">
        <v>420</v>
      </c>
      <c r="D147" s="167" t="s">
        <v>277</v>
      </c>
      <c r="E147" s="167" t="s">
        <v>421</v>
      </c>
      <c r="F147" s="167" t="s">
        <v>302</v>
      </c>
      <c r="G147" s="167" t="s">
        <v>131</v>
      </c>
    </row>
    <row r="148">
      <c r="A148" s="167" t="s">
        <v>422</v>
      </c>
      <c r="B148" s="167" t="str">
        <f>IFERROR(__xludf.DUMMYFUNCTION("GOOGLEFINANCE(A148,""Name"")"),"WLM Participacoes e Cmrc d Mqns e Vcs SA")</f>
        <v>WLM Participacoes e Cmrc d Mqns e Vcs SA</v>
      </c>
      <c r="C148" s="167" t="s">
        <v>423</v>
      </c>
      <c r="D148" s="167" t="s">
        <v>277</v>
      </c>
      <c r="E148" s="167" t="s">
        <v>421</v>
      </c>
      <c r="F148" s="167" t="s">
        <v>302</v>
      </c>
      <c r="G148" s="167" t="s">
        <v>131</v>
      </c>
    </row>
    <row r="149">
      <c r="A149" s="167" t="s">
        <v>424</v>
      </c>
      <c r="B149" s="167" t="str">
        <f>IFERROR(__xludf.DUMMYFUNCTION("GOOGLEFINANCE(A149,""Name"")"),"WLM Participacoes e Cmrc d Mqns e Vcs SA Preference Shares")</f>
        <v>WLM Participacoes e Cmrc d Mqns e Vcs SA Preference Shares</v>
      </c>
      <c r="C149" s="167" t="s">
        <v>423</v>
      </c>
      <c r="D149" s="167" t="s">
        <v>277</v>
      </c>
      <c r="E149" s="167" t="s">
        <v>421</v>
      </c>
      <c r="F149" s="167" t="s">
        <v>302</v>
      </c>
      <c r="G149" s="167" t="s">
        <v>131</v>
      </c>
    </row>
    <row r="150">
      <c r="A150" s="167" t="s">
        <v>425</v>
      </c>
      <c r="B150" s="167" t="str">
        <f>IFERROR(__xludf.DUMMYFUNCTION("GOOGLEFINANCE(A150,""Name"")"),"BrasilAgro - Companhia Brslr d Prprd Agr")</f>
        <v>BrasilAgro - Companhia Brslr d Prprd Agr</v>
      </c>
      <c r="C150" s="167" t="s">
        <v>426</v>
      </c>
      <c r="D150" s="167" t="s">
        <v>427</v>
      </c>
      <c r="E150" s="167" t="s">
        <v>428</v>
      </c>
      <c r="F150" s="167" t="s">
        <v>429</v>
      </c>
      <c r="G150" s="167" t="s">
        <v>131</v>
      </c>
    </row>
    <row r="151">
      <c r="A151" s="167" t="s">
        <v>430</v>
      </c>
      <c r="B151" s="167" t="str">
        <f>IFERROR(__xludf.DUMMYFUNCTION("GOOGLEFINANCE(A151,""Name"")"),"#N/A")</f>
        <v>#N/A</v>
      </c>
      <c r="C151" s="167" t="s">
        <v>431</v>
      </c>
      <c r="D151" s="167" t="s">
        <v>427</v>
      </c>
      <c r="E151" s="167" t="s">
        <v>428</v>
      </c>
      <c r="F151" s="167" t="s">
        <v>429</v>
      </c>
      <c r="G151" s="167" t="s">
        <v>131</v>
      </c>
    </row>
    <row r="152">
      <c r="A152" s="167" t="s">
        <v>432</v>
      </c>
      <c r="B152" s="167" t="str">
        <f>IFERROR(__xludf.DUMMYFUNCTION("GOOGLEFINANCE(A152,""Name"")"),"SLC Agricola SA")</f>
        <v>SLC Agricola SA</v>
      </c>
      <c r="C152" s="167" t="s">
        <v>433</v>
      </c>
      <c r="D152" s="167" t="s">
        <v>427</v>
      </c>
      <c r="E152" s="167" t="s">
        <v>428</v>
      </c>
      <c r="F152" s="167" t="s">
        <v>429</v>
      </c>
      <c r="G152" s="167" t="s">
        <v>131</v>
      </c>
    </row>
    <row r="153">
      <c r="A153" s="167" t="s">
        <v>434</v>
      </c>
      <c r="B153" s="167" t="str">
        <f>IFERROR(__xludf.DUMMYFUNCTION("GOOGLEFINANCE(A153,""Name"")"),"#N/A")</f>
        <v>#N/A</v>
      </c>
      <c r="C153" s="167" t="s">
        <v>435</v>
      </c>
      <c r="D153" s="167" t="s">
        <v>427</v>
      </c>
      <c r="E153" s="167" t="s">
        <v>428</v>
      </c>
      <c r="F153" s="167" t="s">
        <v>429</v>
      </c>
      <c r="G153" s="167" t="s">
        <v>131</v>
      </c>
    </row>
    <row r="154">
      <c r="A154" s="167" t="s">
        <v>436</v>
      </c>
      <c r="B154" s="167" t="str">
        <f>IFERROR(__xludf.DUMMYFUNCTION("GOOGLEFINANCE(A154,""Name"")"),"#N/A")</f>
        <v>#N/A</v>
      </c>
      <c r="C154" s="167" t="s">
        <v>437</v>
      </c>
      <c r="D154" s="167" t="s">
        <v>427</v>
      </c>
      <c r="E154" s="167" t="s">
        <v>438</v>
      </c>
      <c r="F154" s="167" t="s">
        <v>439</v>
      </c>
      <c r="G154" s="167" t="s">
        <v>131</v>
      </c>
    </row>
    <row r="155">
      <c r="A155" s="167" t="s">
        <v>440</v>
      </c>
      <c r="B155" s="167" t="str">
        <f>IFERROR(__xludf.DUMMYFUNCTION("GOOGLEFINANCE(A155,""Name"")"),"Sao Martinho SA")</f>
        <v>Sao Martinho SA</v>
      </c>
      <c r="C155" s="167" t="s">
        <v>441</v>
      </c>
      <c r="D155" s="167" t="s">
        <v>427</v>
      </c>
      <c r="E155" s="167" t="s">
        <v>438</v>
      </c>
      <c r="F155" s="167" t="s">
        <v>439</v>
      </c>
      <c r="G155" s="167" t="s">
        <v>131</v>
      </c>
    </row>
    <row r="156">
      <c r="A156" s="167" t="s">
        <v>442</v>
      </c>
      <c r="B156" s="167" t="str">
        <f>IFERROR(__xludf.DUMMYFUNCTION("GOOGLEFINANCE(A156,""Name"")"),"#N/A")</f>
        <v>#N/A</v>
      </c>
      <c r="C156" s="167" t="s">
        <v>443</v>
      </c>
      <c r="D156" s="167" t="s">
        <v>427</v>
      </c>
      <c r="E156" s="167" t="s">
        <v>438</v>
      </c>
      <c r="F156" s="167" t="s">
        <v>444</v>
      </c>
      <c r="G156" s="167" t="s">
        <v>131</v>
      </c>
    </row>
    <row r="157">
      <c r="A157" s="167" t="s">
        <v>445</v>
      </c>
      <c r="B157" s="167" t="str">
        <f>IFERROR(__xludf.DUMMYFUNCTION("GOOGLEFINANCE(A157,""Name"")"),"Excelsior Alimentos SA")</f>
        <v>Excelsior Alimentos SA</v>
      </c>
      <c r="C157" s="167" t="s">
        <v>446</v>
      </c>
      <c r="D157" s="167" t="s">
        <v>427</v>
      </c>
      <c r="E157" s="167" t="s">
        <v>438</v>
      </c>
      <c r="F157" s="167" t="s">
        <v>444</v>
      </c>
      <c r="G157" s="167" t="s">
        <v>131</v>
      </c>
    </row>
    <row r="158">
      <c r="A158" s="167" t="s">
        <v>447</v>
      </c>
      <c r="B158" s="167" t="str">
        <f>IFERROR(__xludf.DUMMYFUNCTION("GOOGLEFINANCE(A158,""Name"")"),"Excelsior Alimentos SA Preference Shares")</f>
        <v>Excelsior Alimentos SA Preference Shares</v>
      </c>
      <c r="C158" s="167" t="s">
        <v>446</v>
      </c>
      <c r="D158" s="167" t="s">
        <v>427</v>
      </c>
      <c r="E158" s="167" t="s">
        <v>438</v>
      </c>
      <c r="F158" s="167" t="s">
        <v>444</v>
      </c>
      <c r="G158" s="167" t="s">
        <v>131</v>
      </c>
    </row>
    <row r="159">
      <c r="A159" s="167" t="s">
        <v>448</v>
      </c>
      <c r="B159" s="167" t="str">
        <f>IFERROR(__xludf.DUMMYFUNCTION("GOOGLEFINANCE(A159,""Name"")"),"#N/A")</f>
        <v>#N/A</v>
      </c>
      <c r="C159" s="167" t="s">
        <v>449</v>
      </c>
      <c r="D159" s="167" t="s">
        <v>427</v>
      </c>
      <c r="E159" s="167" t="s">
        <v>438</v>
      </c>
      <c r="F159" s="167" t="s">
        <v>444</v>
      </c>
      <c r="G159" s="167" t="s">
        <v>131</v>
      </c>
    </row>
    <row r="160">
      <c r="A160" s="167" t="s">
        <v>450</v>
      </c>
      <c r="B160" s="167" t="str">
        <f>IFERROR(__xludf.DUMMYFUNCTION("GOOGLEFINANCE(A160,""Name"")"),"#N/A")</f>
        <v>#N/A</v>
      </c>
      <c r="C160" s="167" t="s">
        <v>451</v>
      </c>
      <c r="D160" s="167" t="s">
        <v>427</v>
      </c>
      <c r="E160" s="167" t="s">
        <v>438</v>
      </c>
      <c r="F160" s="167" t="s">
        <v>444</v>
      </c>
      <c r="G160" s="167" t="s">
        <v>131</v>
      </c>
    </row>
    <row r="161">
      <c r="A161" s="167" t="s">
        <v>452</v>
      </c>
      <c r="B161" s="167" t="str">
        <f>IFERROR(__xludf.DUMMYFUNCTION("GOOGLEFINANCE(A161,""Name"")"),"Minerva SA")</f>
        <v>Minerva SA</v>
      </c>
      <c r="C161" s="167" t="s">
        <v>453</v>
      </c>
      <c r="D161" s="167" t="s">
        <v>427</v>
      </c>
      <c r="E161" s="167" t="s">
        <v>438</v>
      </c>
      <c r="F161" s="167" t="s">
        <v>444</v>
      </c>
      <c r="G161" s="167" t="s">
        <v>131</v>
      </c>
    </row>
    <row r="162">
      <c r="A162" s="167" t="s">
        <v>454</v>
      </c>
      <c r="B162" s="167" t="str">
        <f>IFERROR(__xludf.DUMMYFUNCTION("GOOGLEFINANCE(A162,""Name"")"),"Minupar Participacoes SA")</f>
        <v>Minupar Participacoes SA</v>
      </c>
      <c r="C162" s="167" t="s">
        <v>455</v>
      </c>
      <c r="D162" s="167" t="s">
        <v>427</v>
      </c>
      <c r="E162" s="167" t="s">
        <v>438</v>
      </c>
      <c r="F162" s="167" t="s">
        <v>444</v>
      </c>
      <c r="G162" s="167" t="s">
        <v>131</v>
      </c>
    </row>
    <row r="163">
      <c r="A163" s="167" t="s">
        <v>456</v>
      </c>
      <c r="B163" s="167" t="str">
        <f>IFERROR(__xludf.DUMMYFUNCTION("GOOGLEFINANCE(A163,""Name"")"),"Camil Alimentos SA")</f>
        <v>Camil Alimentos SA</v>
      </c>
      <c r="C163" s="167" t="s">
        <v>457</v>
      </c>
      <c r="D163" s="167" t="s">
        <v>427</v>
      </c>
      <c r="E163" s="167" t="s">
        <v>438</v>
      </c>
      <c r="F163" s="167" t="s">
        <v>458</v>
      </c>
      <c r="G163" s="167" t="s">
        <v>131</v>
      </c>
    </row>
    <row r="164">
      <c r="A164" s="167" t="s">
        <v>459</v>
      </c>
      <c r="B164" s="167" t="str">
        <f>IFERROR(__xludf.DUMMYFUNCTION("GOOGLEFINANCE(A164,""Name"")"),"Josapar Joaquim Oliveira SA Prtcpcs")</f>
        <v>Josapar Joaquim Oliveira SA Prtcpcs</v>
      </c>
      <c r="C164" s="167" t="s">
        <v>460</v>
      </c>
      <c r="D164" s="167" t="s">
        <v>427</v>
      </c>
      <c r="E164" s="167" t="s">
        <v>438</v>
      </c>
      <c r="F164" s="167" t="s">
        <v>458</v>
      </c>
      <c r="G164" s="167" t="s">
        <v>131</v>
      </c>
    </row>
    <row r="165">
      <c r="A165" s="167" t="s">
        <v>461</v>
      </c>
      <c r="B165" s="167" t="str">
        <f>IFERROR(__xludf.DUMMYFUNCTION("GOOGLEFINANCE(A165,""Name"")"),"Josapar Joaquim Oliveira SA Prtcpcs Preference Shares")</f>
        <v>Josapar Joaquim Oliveira SA Prtcpcs Preference Shares</v>
      </c>
      <c r="C165" s="167" t="s">
        <v>460</v>
      </c>
      <c r="D165" s="167" t="s">
        <v>427</v>
      </c>
      <c r="E165" s="167" t="s">
        <v>438</v>
      </c>
      <c r="F165" s="167" t="s">
        <v>458</v>
      </c>
      <c r="G165" s="167" t="s">
        <v>131</v>
      </c>
    </row>
    <row r="166">
      <c r="A166" s="167" t="s">
        <v>462</v>
      </c>
      <c r="B166" s="167" t="str">
        <f>IFERROR(__xludf.DUMMYFUNCTION("GOOGLEFINANCE(A166,""Name"")"),"M Dias Brnc S ndstr  Cmrc d lmnts")</f>
        <v>M Dias Brnc S ndstr  Cmrc d lmnts</v>
      </c>
      <c r="C166" s="167" t="s">
        <v>463</v>
      </c>
      <c r="D166" s="167" t="s">
        <v>427</v>
      </c>
      <c r="E166" s="167" t="s">
        <v>438</v>
      </c>
      <c r="F166" s="167" t="s">
        <v>458</v>
      </c>
      <c r="G166" s="167" t="s">
        <v>131</v>
      </c>
    </row>
    <row r="167">
      <c r="A167" s="167" t="s">
        <v>92</v>
      </c>
      <c r="B167" s="167" t="str">
        <f>IFERROR(__xludf.DUMMYFUNCTION("GOOGLEFINANCE(A167,""Name"")"),"Amebv Cedear")</f>
        <v>Amebv Cedear</v>
      </c>
      <c r="C167" s="167" t="s">
        <v>464</v>
      </c>
      <c r="D167" s="167" t="s">
        <v>427</v>
      </c>
      <c r="E167" s="167" t="s">
        <v>465</v>
      </c>
      <c r="F167" s="167" t="s">
        <v>221</v>
      </c>
      <c r="G167" s="167" t="s">
        <v>131</v>
      </c>
    </row>
    <row r="168">
      <c r="A168" s="167" t="s">
        <v>466</v>
      </c>
      <c r="B168" s="167" t="str">
        <f>IFERROR(__xludf.DUMMYFUNCTION("GOOGLEFINANCE(A168,""Name"")"),"#N/A")</f>
        <v>#N/A</v>
      </c>
      <c r="C168" s="167" t="s">
        <v>467</v>
      </c>
      <c r="D168" s="167" t="s">
        <v>427</v>
      </c>
      <c r="E168" s="167" t="s">
        <v>468</v>
      </c>
      <c r="F168" s="167" t="s">
        <v>469</v>
      </c>
      <c r="G168" s="167" t="s">
        <v>131</v>
      </c>
    </row>
    <row r="169">
      <c r="A169" s="167" t="s">
        <v>470</v>
      </c>
      <c r="B169" s="167" t="str">
        <f>IFERROR(__xludf.DUMMYFUNCTION("GOOGLEFINANCE(A169,""Name"")"),"Bombril S.A Em Recuperacao Judicial Preference Shares")</f>
        <v>Bombril S.A Em Recuperacao Judicial Preference Shares</v>
      </c>
      <c r="C169" s="167" t="s">
        <v>471</v>
      </c>
      <c r="D169" s="167" t="s">
        <v>427</v>
      </c>
      <c r="E169" s="167" t="s">
        <v>468</v>
      </c>
      <c r="F169" s="167" t="s">
        <v>472</v>
      </c>
      <c r="G169" s="167" t="s">
        <v>131</v>
      </c>
    </row>
    <row r="170">
      <c r="A170" s="167" t="s">
        <v>473</v>
      </c>
      <c r="B170" s="167" t="str">
        <f>IFERROR(__xludf.DUMMYFUNCTION("GOOGLEFINANCE(A170,""Name"")"),"#N/A")</f>
        <v>#N/A</v>
      </c>
      <c r="C170" s="167" t="s">
        <v>474</v>
      </c>
      <c r="D170" s="167" t="s">
        <v>427</v>
      </c>
      <c r="E170" s="167" t="s">
        <v>475</v>
      </c>
      <c r="F170" s="167" t="s">
        <v>476</v>
      </c>
      <c r="G170" s="167" t="s">
        <v>131</v>
      </c>
    </row>
    <row r="171">
      <c r="A171" s="167" t="s">
        <v>477</v>
      </c>
      <c r="B171" s="167" t="str">
        <f>IFERROR(__xludf.DUMMYFUNCTION("GOOGLEFINANCE(A171,""Name"")"),"Companhia Brasileira de Distribuicao SA")</f>
        <v>Companhia Brasileira de Distribuicao SA</v>
      </c>
      <c r="C171" s="167" t="s">
        <v>478</v>
      </c>
      <c r="D171" s="167" t="s">
        <v>427</v>
      </c>
      <c r="E171" s="167" t="s">
        <v>475</v>
      </c>
      <c r="F171" s="167" t="s">
        <v>476</v>
      </c>
      <c r="G171" s="167" t="s">
        <v>131</v>
      </c>
    </row>
    <row r="172">
      <c r="A172" s="167" t="s">
        <v>479</v>
      </c>
      <c r="B172" s="167" t="str">
        <f>IFERROR(__xludf.DUMMYFUNCTION("GOOGLEFINANCE(A172,""Name"")"),"#N/A")</f>
        <v>#N/A</v>
      </c>
      <c r="C172" s="167" t="s">
        <v>480</v>
      </c>
      <c r="D172" s="167" t="s">
        <v>481</v>
      </c>
      <c r="E172" s="167" t="s">
        <v>482</v>
      </c>
      <c r="F172" s="167" t="s">
        <v>483</v>
      </c>
      <c r="G172" s="167" t="s">
        <v>131</v>
      </c>
    </row>
    <row r="173">
      <c r="A173" s="167" t="s">
        <v>484</v>
      </c>
      <c r="B173" s="167" t="str">
        <f>IFERROR(__xludf.DUMMYFUNCTION("GOOGLEFINANCE(A173,""Name"")"),"Cyrela Brazil Realty SA Emprdts e Prtpcs")</f>
        <v>Cyrela Brazil Realty SA Emprdts e Prtpcs</v>
      </c>
      <c r="C173" s="167" t="s">
        <v>485</v>
      </c>
      <c r="D173" s="167" t="s">
        <v>481</v>
      </c>
      <c r="E173" s="167" t="s">
        <v>482</v>
      </c>
      <c r="F173" s="167" t="s">
        <v>483</v>
      </c>
      <c r="G173" s="167" t="s">
        <v>131</v>
      </c>
    </row>
    <row r="174">
      <c r="A174" s="167" t="s">
        <v>486</v>
      </c>
      <c r="B174" s="167" t="str">
        <f>IFERROR(__xludf.DUMMYFUNCTION("GOOGLEFINANCE(A174,""Name"")"),"Direcional Engenharia SA")</f>
        <v>Direcional Engenharia SA</v>
      </c>
      <c r="C174" s="167" t="s">
        <v>487</v>
      </c>
      <c r="D174" s="167" t="s">
        <v>481</v>
      </c>
      <c r="E174" s="167" t="s">
        <v>482</v>
      </c>
      <c r="F174" s="167" t="s">
        <v>483</v>
      </c>
      <c r="G174" s="167" t="s">
        <v>131</v>
      </c>
    </row>
    <row r="175">
      <c r="A175" s="167" t="s">
        <v>488</v>
      </c>
      <c r="B175" s="167" t="str">
        <f>IFERROR(__xludf.DUMMYFUNCTION("GOOGLEFINANCE(A175,""Name"")"),"Even Construtora E Incorporadora SA")</f>
        <v>Even Construtora E Incorporadora SA</v>
      </c>
      <c r="C175" s="167" t="s">
        <v>489</v>
      </c>
      <c r="D175" s="167" t="s">
        <v>481</v>
      </c>
      <c r="E175" s="167" t="s">
        <v>482</v>
      </c>
      <c r="F175" s="167" t="s">
        <v>483</v>
      </c>
      <c r="G175" s="167" t="s">
        <v>131</v>
      </c>
    </row>
    <row r="176">
      <c r="A176" s="167" t="s">
        <v>490</v>
      </c>
      <c r="B176" s="167" t="str">
        <f>IFERROR(__xludf.DUMMYFUNCTION("GOOGLEFINANCE(A176,""Name"")"),"EZ TEC Empreendimentos e Participaces SA")</f>
        <v>EZ TEC Empreendimentos e Participaces SA</v>
      </c>
      <c r="C176" s="167" t="s">
        <v>491</v>
      </c>
      <c r="D176" s="167" t="s">
        <v>481</v>
      </c>
      <c r="E176" s="167" t="s">
        <v>482</v>
      </c>
      <c r="F176" s="167" t="s">
        <v>483</v>
      </c>
      <c r="G176" s="167" t="s">
        <v>131</v>
      </c>
    </row>
    <row r="177">
      <c r="A177" s="167" t="s">
        <v>492</v>
      </c>
      <c r="B177" s="167" t="str">
        <f>IFERROR(__xludf.DUMMYFUNCTION("GOOGLEFINANCE(A177,""Name"")"),"Gafisa SA")</f>
        <v>Gafisa SA</v>
      </c>
      <c r="C177" s="167" t="s">
        <v>493</v>
      </c>
      <c r="D177" s="167" t="s">
        <v>481</v>
      </c>
      <c r="E177" s="167" t="s">
        <v>482</v>
      </c>
      <c r="F177" s="167" t="s">
        <v>483</v>
      </c>
      <c r="G177" s="167" t="s">
        <v>131</v>
      </c>
    </row>
    <row r="178">
      <c r="A178" s="167" t="s">
        <v>494</v>
      </c>
      <c r="B178" s="167" t="str">
        <f>IFERROR(__xludf.DUMMYFUNCTION("GOOGLEFINANCE(A178,""Name"")"),"Helbor Empreendimentos SA")</f>
        <v>Helbor Empreendimentos SA</v>
      </c>
      <c r="C178" s="167" t="s">
        <v>495</v>
      </c>
      <c r="D178" s="167" t="s">
        <v>481</v>
      </c>
      <c r="E178" s="167" t="s">
        <v>482</v>
      </c>
      <c r="F178" s="167" t="s">
        <v>483</v>
      </c>
      <c r="G178" s="167" t="s">
        <v>131</v>
      </c>
    </row>
    <row r="179">
      <c r="A179" s="167" t="s">
        <v>496</v>
      </c>
      <c r="B179" s="167" t="str">
        <f>IFERROR(__xludf.DUMMYFUNCTION("GOOGLEFINANCE(A179,""Name"")"),"#N/A")</f>
        <v>#N/A</v>
      </c>
      <c r="C179" s="167" t="s">
        <v>497</v>
      </c>
      <c r="D179" s="167" t="s">
        <v>481</v>
      </c>
      <c r="E179" s="167" t="s">
        <v>482</v>
      </c>
      <c r="F179" s="167" t="s">
        <v>483</v>
      </c>
      <c r="G179" s="167" t="s">
        <v>131</v>
      </c>
    </row>
    <row r="180">
      <c r="A180" s="167" t="s">
        <v>498</v>
      </c>
      <c r="B180" s="167" t="str">
        <f>IFERROR(__xludf.DUMMYFUNCTION("GOOGLEFINANCE(A180,""Name"")"),"JHSF Participacoes SA")</f>
        <v>JHSF Participacoes SA</v>
      </c>
      <c r="C180" s="167" t="s">
        <v>499</v>
      </c>
      <c r="D180" s="167" t="s">
        <v>481</v>
      </c>
      <c r="E180" s="167" t="s">
        <v>482</v>
      </c>
      <c r="F180" s="167" t="s">
        <v>483</v>
      </c>
      <c r="G180" s="167" t="s">
        <v>131</v>
      </c>
    </row>
    <row r="181">
      <c r="A181" s="167" t="s">
        <v>500</v>
      </c>
      <c r="B181" s="167" t="str">
        <f>IFERROR(__xludf.DUMMYFUNCTION("GOOGLEFINANCE(A181,""Name"")"),"Joao Fortes Engenharia SA")</f>
        <v>Joao Fortes Engenharia SA</v>
      </c>
      <c r="C181" s="167" t="s">
        <v>501</v>
      </c>
      <c r="D181" s="167" t="s">
        <v>481</v>
      </c>
      <c r="E181" s="167" t="s">
        <v>482</v>
      </c>
      <c r="F181" s="167" t="s">
        <v>483</v>
      </c>
      <c r="G181" s="167" t="s">
        <v>131</v>
      </c>
    </row>
    <row r="182">
      <c r="A182" s="167" t="s">
        <v>502</v>
      </c>
      <c r="B182" s="167" t="str">
        <f>IFERROR(__xludf.DUMMYFUNCTION("GOOGLEFINANCE(A182,""Name"")"),"Mitre Realty Emprndmnts e Prtcpcs SA")</f>
        <v>Mitre Realty Emprndmnts e Prtcpcs SA</v>
      </c>
      <c r="C182" s="167" t="s">
        <v>503</v>
      </c>
      <c r="D182" s="167" t="s">
        <v>481</v>
      </c>
      <c r="E182" s="167" t="s">
        <v>482</v>
      </c>
      <c r="F182" s="167" t="s">
        <v>483</v>
      </c>
      <c r="G182" s="167" t="s">
        <v>131</v>
      </c>
    </row>
    <row r="183">
      <c r="A183" s="167" t="s">
        <v>504</v>
      </c>
      <c r="B183" s="167" t="str">
        <f>IFERROR(__xludf.DUMMYFUNCTION("GOOGLEFINANCE(A183,""Name"")"),"Moura Dubeux Engenharia SA")</f>
        <v>Moura Dubeux Engenharia SA</v>
      </c>
      <c r="C183" s="167" t="s">
        <v>505</v>
      </c>
      <c r="D183" s="167" t="s">
        <v>481</v>
      </c>
      <c r="E183" s="167" t="s">
        <v>482</v>
      </c>
      <c r="F183" s="167" t="s">
        <v>483</v>
      </c>
      <c r="G183" s="167" t="s">
        <v>131</v>
      </c>
    </row>
    <row r="184">
      <c r="A184" s="167" t="s">
        <v>506</v>
      </c>
      <c r="B184" s="167" t="str">
        <f>IFERROR(__xludf.DUMMYFUNCTION("GOOGLEFINANCE(A184,""Name"")"),"MRV Engenharia e Participacoes SA")</f>
        <v>MRV Engenharia e Participacoes SA</v>
      </c>
      <c r="C184" s="167" t="s">
        <v>507</v>
      </c>
      <c r="D184" s="167" t="s">
        <v>481</v>
      </c>
      <c r="E184" s="167" t="s">
        <v>482</v>
      </c>
      <c r="F184" s="167" t="s">
        <v>483</v>
      </c>
      <c r="G184" s="167" t="s">
        <v>131</v>
      </c>
    </row>
    <row r="185">
      <c r="A185" s="167" t="s">
        <v>508</v>
      </c>
      <c r="B185" s="167" t="str">
        <f>IFERROR(__xludf.DUMMYFUNCTION("GOOGLEFINANCE(A185,""Name"")"),"PDG Realty SA Emprendmnts e Prtcpacs")</f>
        <v>PDG Realty SA Emprendmnts e Prtcpacs</v>
      </c>
      <c r="C185" s="167" t="s">
        <v>509</v>
      </c>
      <c r="D185" s="167" t="s">
        <v>481</v>
      </c>
      <c r="E185" s="167" t="s">
        <v>482</v>
      </c>
      <c r="F185" s="167" t="s">
        <v>483</v>
      </c>
      <c r="G185" s="167" t="s">
        <v>131</v>
      </c>
    </row>
    <row r="186">
      <c r="A186" s="167" t="s">
        <v>510</v>
      </c>
      <c r="B186" s="167" t="str">
        <f>IFERROR(__xludf.DUMMYFUNCTION("GOOGLEFINANCE(A186,""Name"")"),"#N/A")</f>
        <v>#N/A</v>
      </c>
      <c r="C186" s="167" t="s">
        <v>511</v>
      </c>
      <c r="D186" s="167" t="s">
        <v>481</v>
      </c>
      <c r="E186" s="167" t="s">
        <v>482</v>
      </c>
      <c r="F186" s="167" t="s">
        <v>483</v>
      </c>
      <c r="G186" s="167" t="s">
        <v>131</v>
      </c>
    </row>
    <row r="187">
      <c r="A187" s="167" t="s">
        <v>512</v>
      </c>
      <c r="B187" s="167" t="str">
        <f>IFERROR(__xludf.DUMMYFUNCTION("GOOGLEFINANCE(A187,""Name"")"),"Rossi Residencal SA - em Recuprco Judicl")</f>
        <v>Rossi Residencal SA - em Recuprco Judicl</v>
      </c>
      <c r="C187" s="167" t="s">
        <v>513</v>
      </c>
      <c r="D187" s="167" t="s">
        <v>481</v>
      </c>
      <c r="E187" s="167" t="s">
        <v>482</v>
      </c>
      <c r="F187" s="167" t="s">
        <v>483</v>
      </c>
      <c r="G187" s="167" t="s">
        <v>131</v>
      </c>
    </row>
    <row r="188">
      <c r="A188" s="167" t="s">
        <v>514</v>
      </c>
      <c r="B188" s="167" t="str">
        <f>IFERROR(__xludf.DUMMYFUNCTION("GOOGLEFINANCE(A188,""Name"")"),"Tecnisa SA")</f>
        <v>Tecnisa SA</v>
      </c>
      <c r="C188" s="167" t="s">
        <v>515</v>
      </c>
      <c r="D188" s="167" t="s">
        <v>481</v>
      </c>
      <c r="E188" s="167" t="s">
        <v>482</v>
      </c>
      <c r="F188" s="167" t="s">
        <v>483</v>
      </c>
      <c r="G188" s="167" t="s">
        <v>131</v>
      </c>
    </row>
    <row r="189">
      <c r="A189" s="167" t="s">
        <v>516</v>
      </c>
      <c r="B189" s="167" t="str">
        <f>IFERROR(__xludf.DUMMYFUNCTION("GOOGLEFINANCE(A189,""Name"")"),"Construtora Tenda S/A")</f>
        <v>Construtora Tenda S/A</v>
      </c>
      <c r="C189" s="167" t="s">
        <v>517</v>
      </c>
      <c r="D189" s="167" t="s">
        <v>481</v>
      </c>
      <c r="E189" s="167" t="s">
        <v>482</v>
      </c>
      <c r="F189" s="167" t="s">
        <v>483</v>
      </c>
      <c r="G189" s="167" t="s">
        <v>131</v>
      </c>
    </row>
    <row r="190">
      <c r="A190" s="167" t="s">
        <v>518</v>
      </c>
      <c r="B190" s="167" t="str">
        <f>IFERROR(__xludf.DUMMYFUNCTION("GOOGLEFINANCE(A190,""Name"")"),"Trisul SA")</f>
        <v>Trisul SA</v>
      </c>
      <c r="C190" s="167" t="s">
        <v>519</v>
      </c>
      <c r="D190" s="167" t="s">
        <v>481</v>
      </c>
      <c r="E190" s="167" t="s">
        <v>482</v>
      </c>
      <c r="F190" s="167" t="s">
        <v>483</v>
      </c>
      <c r="G190" s="167" t="s">
        <v>131</v>
      </c>
    </row>
    <row r="191">
      <c r="A191" s="167" t="s">
        <v>520</v>
      </c>
      <c r="B191" s="167" t="str">
        <f>IFERROR(__xludf.DUMMYFUNCTION("GOOGLEFINANCE(A191,""Name"")"),"Viver Incorporadora e Construtora SA")</f>
        <v>Viver Incorporadora e Construtora SA</v>
      </c>
      <c r="C191" s="167" t="s">
        <v>521</v>
      </c>
      <c r="D191" s="167" t="s">
        <v>481</v>
      </c>
      <c r="E191" s="167" t="s">
        <v>482</v>
      </c>
      <c r="F191" s="167" t="s">
        <v>483</v>
      </c>
      <c r="G191" s="167" t="s">
        <v>131</v>
      </c>
    </row>
    <row r="192">
      <c r="A192" s="167" t="s">
        <v>522</v>
      </c>
      <c r="B192" s="167" t="str">
        <f>IFERROR(__xludf.DUMMYFUNCTION("GOOGLEFINANCE(A192,""Name"")"),"Companhia de Fc  Tcds Cdr Cchr")</f>
        <v>Companhia de Fc  Tcds Cdr Cchr</v>
      </c>
      <c r="C192" s="167" t="s">
        <v>523</v>
      </c>
      <c r="D192" s="167" t="s">
        <v>481</v>
      </c>
      <c r="E192" s="167" t="s">
        <v>524</v>
      </c>
      <c r="F192" s="167" t="s">
        <v>525</v>
      </c>
      <c r="G192" s="167" t="s">
        <v>131</v>
      </c>
    </row>
    <row r="193">
      <c r="A193" s="167" t="s">
        <v>526</v>
      </c>
      <c r="B193" s="167" t="str">
        <f>IFERROR(__xludf.DUMMYFUNCTION("GOOGLEFINANCE(A193,""Name"")"),"Companhia de Fc  Tcds Cdr Cchr Preference Shares")</f>
        <v>Companhia de Fc  Tcds Cdr Cchr Preference Shares</v>
      </c>
      <c r="C193" s="167" t="s">
        <v>523</v>
      </c>
      <c r="D193" s="167" t="s">
        <v>481</v>
      </c>
      <c r="E193" s="167" t="s">
        <v>524</v>
      </c>
      <c r="F193" s="167" t="s">
        <v>525</v>
      </c>
      <c r="G193" s="167" t="s">
        <v>131</v>
      </c>
    </row>
    <row r="194">
      <c r="A194" s="167" t="s">
        <v>527</v>
      </c>
      <c r="B194" s="167" t="str">
        <f>IFERROR(__xludf.DUMMYFUNCTION("GOOGLEFINANCE(A194,""Name"")"),"#N/A")</f>
        <v>#N/A</v>
      </c>
      <c r="C194" s="167" t="s">
        <v>528</v>
      </c>
      <c r="D194" s="167" t="s">
        <v>481</v>
      </c>
      <c r="E194" s="167" t="s">
        <v>524</v>
      </c>
      <c r="F194" s="167" t="s">
        <v>525</v>
      </c>
      <c r="G194" s="167" t="s">
        <v>131</v>
      </c>
    </row>
    <row r="195">
      <c r="A195" s="167" t="s">
        <v>529</v>
      </c>
      <c r="B195" s="167" t="str">
        <f>IFERROR(__xludf.DUMMYFUNCTION("GOOGLEFINANCE(A195,""Name"")"),"#N/A")</f>
        <v>#N/A</v>
      </c>
      <c r="C195" s="167" t="s">
        <v>528</v>
      </c>
      <c r="D195" s="167" t="s">
        <v>481</v>
      </c>
      <c r="E195" s="167" t="s">
        <v>524</v>
      </c>
      <c r="F195" s="167" t="s">
        <v>525</v>
      </c>
      <c r="G195" s="167" t="s">
        <v>131</v>
      </c>
    </row>
    <row r="196">
      <c r="A196" s="167" t="s">
        <v>530</v>
      </c>
      <c r="B196" s="167" t="str">
        <f>IFERROR(__xludf.DUMMYFUNCTION("GOOGLEFINANCE(A196,""Name"")"),"Dohler SA")</f>
        <v>Dohler SA</v>
      </c>
      <c r="C196" s="167" t="s">
        <v>531</v>
      </c>
      <c r="D196" s="167" t="s">
        <v>481</v>
      </c>
      <c r="E196" s="167" t="s">
        <v>524</v>
      </c>
      <c r="F196" s="167" t="s">
        <v>525</v>
      </c>
      <c r="G196" s="167" t="s">
        <v>131</v>
      </c>
    </row>
    <row r="197">
      <c r="A197" s="167" t="s">
        <v>532</v>
      </c>
      <c r="B197" s="167" t="str">
        <f>IFERROR(__xludf.DUMMYFUNCTION("GOOGLEFINANCE(A197,""Name"")"),"Dohler SA Preference Shares")</f>
        <v>Dohler SA Preference Shares</v>
      </c>
      <c r="C197" s="167" t="s">
        <v>531</v>
      </c>
      <c r="D197" s="167" t="s">
        <v>481</v>
      </c>
      <c r="E197" s="167" t="s">
        <v>524</v>
      </c>
      <c r="F197" s="167" t="s">
        <v>525</v>
      </c>
      <c r="G197" s="167" t="s">
        <v>131</v>
      </c>
    </row>
    <row r="198">
      <c r="A198" s="167" t="s">
        <v>533</v>
      </c>
      <c r="B198" s="167" t="str">
        <f>IFERROR(__xludf.DUMMYFUNCTION("GOOGLEFINANCE(A198,""Name"")"),"Karsten SA")</f>
        <v>Karsten SA</v>
      </c>
      <c r="C198" s="167" t="s">
        <v>534</v>
      </c>
      <c r="D198" s="167" t="s">
        <v>481</v>
      </c>
      <c r="E198" s="167" t="s">
        <v>524</v>
      </c>
      <c r="F198" s="167" t="s">
        <v>525</v>
      </c>
      <c r="G198" s="167" t="s">
        <v>131</v>
      </c>
    </row>
    <row r="199">
      <c r="A199" s="167" t="s">
        <v>535</v>
      </c>
      <c r="B199" s="167" t="str">
        <f>IFERROR(__xludf.DUMMYFUNCTION("GOOGLEFINANCE(A199,""Name"")"),"Karsten SA Preference Shares")</f>
        <v>Karsten SA Preference Shares</v>
      </c>
      <c r="C199" s="167" t="s">
        <v>534</v>
      </c>
      <c r="D199" s="167" t="s">
        <v>481</v>
      </c>
      <c r="E199" s="167" t="s">
        <v>524</v>
      </c>
      <c r="F199" s="167" t="s">
        <v>525</v>
      </c>
      <c r="G199" s="167" t="s">
        <v>131</v>
      </c>
    </row>
    <row r="200">
      <c r="A200" s="167" t="s">
        <v>536</v>
      </c>
      <c r="B200" s="167" t="str">
        <f>IFERROR(__xludf.DUMMYFUNCTION("GOOGLEFINANCE(A200,""Name"")"),"#N/A")</f>
        <v>#N/A</v>
      </c>
      <c r="C200" s="167" t="s">
        <v>537</v>
      </c>
      <c r="D200" s="167" t="s">
        <v>481</v>
      </c>
      <c r="E200" s="167" t="s">
        <v>524</v>
      </c>
      <c r="F200" s="167" t="s">
        <v>525</v>
      </c>
      <c r="G200" s="167" t="s">
        <v>131</v>
      </c>
    </row>
    <row r="201">
      <c r="A201" s="167" t="s">
        <v>538</v>
      </c>
      <c r="B201" s="167" t="str">
        <f>IFERROR(__xludf.DUMMYFUNCTION("GOOGLEFINANCE(A201,""Name"")"),"#N/A")</f>
        <v>#N/A</v>
      </c>
      <c r="C201" s="167" t="s">
        <v>537</v>
      </c>
      <c r="D201" s="167" t="s">
        <v>481</v>
      </c>
      <c r="E201" s="167" t="s">
        <v>524</v>
      </c>
      <c r="F201" s="167" t="s">
        <v>525</v>
      </c>
      <c r="G201" s="167" t="s">
        <v>131</v>
      </c>
    </row>
    <row r="202">
      <c r="A202" s="167" t="s">
        <v>539</v>
      </c>
      <c r="B202" s="167" t="str">
        <f>IFERROR(__xludf.DUMMYFUNCTION("GOOGLEFINANCE(A202,""Name"")"),"Companhia Tecidos Santnns em Rcprac Jdcl")</f>
        <v>Companhia Tecidos Santnns em Rcprac Jdcl</v>
      </c>
      <c r="C202" s="167" t="s">
        <v>540</v>
      </c>
      <c r="D202" s="167" t="s">
        <v>481</v>
      </c>
      <c r="E202" s="167" t="s">
        <v>524</v>
      </c>
      <c r="F202" s="167" t="s">
        <v>525</v>
      </c>
      <c r="G202" s="167" t="s">
        <v>131</v>
      </c>
    </row>
    <row r="203">
      <c r="A203" s="167" t="s">
        <v>541</v>
      </c>
      <c r="B203" s="167" t="str">
        <f>IFERROR(__xludf.DUMMYFUNCTION("GOOGLEFINANCE(A203,""Name"")"),"Companhia Tecidos Santnns em Rcprac Jdcl Preference Shares")</f>
        <v>Companhia Tecidos Santnns em Rcprac Jdcl Preference Shares</v>
      </c>
      <c r="C203" s="167" t="s">
        <v>540</v>
      </c>
      <c r="D203" s="167" t="s">
        <v>481</v>
      </c>
      <c r="E203" s="167" t="s">
        <v>524</v>
      </c>
      <c r="F203" s="167" t="s">
        <v>525</v>
      </c>
      <c r="G203" s="167" t="s">
        <v>131</v>
      </c>
    </row>
    <row r="204">
      <c r="A204" s="167" t="s">
        <v>542</v>
      </c>
      <c r="B204" s="167" t="str">
        <f>IFERROR(__xludf.DUMMYFUNCTION("GOOGLEFINANCE(A204,""Name"")"),"#N/A")</f>
        <v>#N/A</v>
      </c>
      <c r="C204" s="167" t="s">
        <v>540</v>
      </c>
      <c r="D204" s="167" t="s">
        <v>481</v>
      </c>
      <c r="E204" s="167" t="s">
        <v>524</v>
      </c>
      <c r="F204" s="167" t="s">
        <v>525</v>
      </c>
      <c r="G204" s="167" t="s">
        <v>131</v>
      </c>
    </row>
    <row r="205">
      <c r="A205" s="167" t="s">
        <v>543</v>
      </c>
      <c r="B205" s="167" t="str">
        <f>IFERROR(__xludf.DUMMYFUNCTION("GOOGLEFINANCE(A205,""Name"")"),"#N/A")</f>
        <v>#N/A</v>
      </c>
      <c r="C205" s="167" t="s">
        <v>544</v>
      </c>
      <c r="D205" s="167" t="s">
        <v>481</v>
      </c>
      <c r="E205" s="167" t="s">
        <v>524</v>
      </c>
      <c r="F205" s="167" t="s">
        <v>525</v>
      </c>
      <c r="G205" s="167" t="s">
        <v>131</v>
      </c>
    </row>
    <row r="206">
      <c r="A206" s="167" t="s">
        <v>545</v>
      </c>
      <c r="B206" s="167" t="str">
        <f>IFERROR(__xludf.DUMMYFUNCTION("GOOGLEFINANCE(A206,""Name"")"),"#N/A")</f>
        <v>#N/A</v>
      </c>
      <c r="C206" s="167" t="s">
        <v>546</v>
      </c>
      <c r="D206" s="167" t="s">
        <v>481</v>
      </c>
      <c r="E206" s="167" t="s">
        <v>524</v>
      </c>
      <c r="F206" s="167" t="s">
        <v>525</v>
      </c>
      <c r="G206" s="167" t="s">
        <v>131</v>
      </c>
    </row>
    <row r="207">
      <c r="A207" s="167" t="s">
        <v>547</v>
      </c>
      <c r="B207" s="167" t="str">
        <f>IFERROR(__xludf.DUMMYFUNCTION("GOOGLEFINANCE(A207,""Name"")"),"#N/A")</f>
        <v>#N/A</v>
      </c>
      <c r="C207" s="167" t="s">
        <v>546</v>
      </c>
      <c r="D207" s="167" t="s">
        <v>481</v>
      </c>
      <c r="E207" s="167" t="s">
        <v>524</v>
      </c>
      <c r="F207" s="167" t="s">
        <v>525</v>
      </c>
      <c r="G207" s="167" t="s">
        <v>131</v>
      </c>
    </row>
    <row r="208">
      <c r="A208" s="167" t="s">
        <v>548</v>
      </c>
      <c r="B208" s="167" t="str">
        <f>IFERROR(__xludf.DUMMYFUNCTION("GOOGLEFINANCE(A208,""Name"")"),"Textil RenauxView S/A")</f>
        <v>Textil RenauxView S/A</v>
      </c>
      <c r="C208" s="167" t="s">
        <v>549</v>
      </c>
      <c r="D208" s="167" t="s">
        <v>481</v>
      </c>
      <c r="E208" s="167" t="s">
        <v>524</v>
      </c>
      <c r="F208" s="167" t="s">
        <v>525</v>
      </c>
      <c r="G208" s="167" t="s">
        <v>131</v>
      </c>
    </row>
    <row r="209">
      <c r="A209" s="167" t="s">
        <v>550</v>
      </c>
      <c r="B209" s="167" t="str">
        <f>IFERROR(__xludf.DUMMYFUNCTION("GOOGLEFINANCE(A209,""Name"")"),"Textil RenauxView S/A Preference Shares")</f>
        <v>Textil RenauxView S/A Preference Shares</v>
      </c>
      <c r="C209" s="167" t="s">
        <v>549</v>
      </c>
      <c r="D209" s="167" t="s">
        <v>481</v>
      </c>
      <c r="E209" s="167" t="s">
        <v>524</v>
      </c>
      <c r="F209" s="167" t="s">
        <v>525</v>
      </c>
      <c r="G209" s="167" t="s">
        <v>131</v>
      </c>
    </row>
    <row r="210">
      <c r="A210" s="167" t="s">
        <v>551</v>
      </c>
      <c r="B210" s="167" t="str">
        <f>IFERROR(__xludf.DUMMYFUNCTION("GOOGLEFINANCE(A210,""Name"")"),"#N/A")</f>
        <v>#N/A</v>
      </c>
      <c r="C210" s="167" t="s">
        <v>552</v>
      </c>
      <c r="D210" s="167" t="s">
        <v>481</v>
      </c>
      <c r="E210" s="167" t="s">
        <v>524</v>
      </c>
      <c r="F210" s="167" t="s">
        <v>553</v>
      </c>
      <c r="G210" s="167" t="s">
        <v>131</v>
      </c>
    </row>
    <row r="211">
      <c r="A211" s="167" t="s">
        <v>554</v>
      </c>
      <c r="B211" s="167" t="str">
        <f>IFERROR(__xludf.DUMMYFUNCTION("GOOGLEFINANCE(A211,""Name"")"),"Alpargatas SA")</f>
        <v>Alpargatas SA</v>
      </c>
      <c r="C211" s="167" t="s">
        <v>555</v>
      </c>
      <c r="D211" s="167" t="s">
        <v>481</v>
      </c>
      <c r="E211" s="167" t="s">
        <v>524</v>
      </c>
      <c r="F211" s="167" t="s">
        <v>556</v>
      </c>
      <c r="G211" s="167" t="s">
        <v>131</v>
      </c>
    </row>
    <row r="212">
      <c r="A212" s="167" t="s">
        <v>557</v>
      </c>
      <c r="B212" s="167" t="str">
        <f>IFERROR(__xludf.DUMMYFUNCTION("GOOGLEFINANCE(A212,""Name"")"),"Alpargatas SA Preference Shares")</f>
        <v>Alpargatas SA Preference Shares</v>
      </c>
      <c r="C212" s="167" t="s">
        <v>555</v>
      </c>
      <c r="D212" s="167" t="s">
        <v>481</v>
      </c>
      <c r="E212" s="167" t="s">
        <v>524</v>
      </c>
      <c r="F212" s="167" t="s">
        <v>556</v>
      </c>
      <c r="G212" s="167" t="s">
        <v>131</v>
      </c>
    </row>
    <row r="213">
      <c r="A213" s="167" t="s">
        <v>558</v>
      </c>
      <c r="B213" s="167" t="str">
        <f>IFERROR(__xludf.DUMMYFUNCTION("GOOGLEFINANCE(A213,""Name"")"),"Cambuci SA")</f>
        <v>Cambuci SA</v>
      </c>
      <c r="C213" s="167" t="s">
        <v>559</v>
      </c>
      <c r="D213" s="167" t="s">
        <v>481</v>
      </c>
      <c r="E213" s="167" t="s">
        <v>524</v>
      </c>
      <c r="F213" s="167" t="s">
        <v>556</v>
      </c>
      <c r="G213" s="167" t="s">
        <v>131</v>
      </c>
    </row>
    <row r="214">
      <c r="A214" s="167" t="s">
        <v>560</v>
      </c>
      <c r="B214" s="167" t="str">
        <f>IFERROR(__xludf.DUMMYFUNCTION("GOOGLEFINANCE(A214,""Name"")"),"Grendene SA")</f>
        <v>Grendene SA</v>
      </c>
      <c r="C214" s="167" t="s">
        <v>561</v>
      </c>
      <c r="D214" s="167" t="s">
        <v>481</v>
      </c>
      <c r="E214" s="167" t="s">
        <v>524</v>
      </c>
      <c r="F214" s="167" t="s">
        <v>556</v>
      </c>
      <c r="G214" s="167" t="s">
        <v>131</v>
      </c>
    </row>
    <row r="215">
      <c r="A215" s="167" t="s">
        <v>562</v>
      </c>
      <c r="B215" s="167" t="str">
        <f>IFERROR(__xludf.DUMMYFUNCTION("GOOGLEFINANCE(A215,""Name"")"),"Vulcabras SA")</f>
        <v>Vulcabras SA</v>
      </c>
      <c r="C215" s="167" t="s">
        <v>563</v>
      </c>
      <c r="D215" s="167" t="s">
        <v>481</v>
      </c>
      <c r="E215" s="167" t="s">
        <v>524</v>
      </c>
      <c r="F215" s="167" t="s">
        <v>556</v>
      </c>
      <c r="G215" s="167" t="s">
        <v>131</v>
      </c>
    </row>
    <row r="216">
      <c r="A216" s="167" t="s">
        <v>564</v>
      </c>
      <c r="B216" s="167" t="str">
        <f>IFERROR(__xludf.DUMMYFUNCTION("GOOGLEFINANCE(A216,""Name"")"),"Mundial SA Produtos de Consumo")</f>
        <v>Mundial SA Produtos de Consumo</v>
      </c>
      <c r="C216" s="167" t="s">
        <v>565</v>
      </c>
      <c r="D216" s="167" t="s">
        <v>481</v>
      </c>
      <c r="E216" s="167" t="s">
        <v>524</v>
      </c>
      <c r="F216" s="167" t="s">
        <v>566</v>
      </c>
      <c r="G216" s="167" t="s">
        <v>131</v>
      </c>
    </row>
    <row r="217">
      <c r="A217" s="167" t="s">
        <v>567</v>
      </c>
      <c r="B217" s="167" t="str">
        <f>IFERROR(__xludf.DUMMYFUNCTION("GOOGLEFINANCE(A217,""Name"")"),"Technos SA")</f>
        <v>Technos SA</v>
      </c>
      <c r="C217" s="167" t="s">
        <v>568</v>
      </c>
      <c r="D217" s="167" t="s">
        <v>481</v>
      </c>
      <c r="E217" s="167" t="s">
        <v>524</v>
      </c>
      <c r="F217" s="167" t="s">
        <v>566</v>
      </c>
      <c r="G217" s="167" t="s">
        <v>131</v>
      </c>
    </row>
    <row r="218">
      <c r="A218" s="167" t="s">
        <v>569</v>
      </c>
      <c r="B218" s="167" t="str">
        <f>IFERROR(__xludf.DUMMYFUNCTION("GOOGLEFINANCE(A218,""Name"")"),"Vivara Participacoes SA")</f>
        <v>Vivara Participacoes SA</v>
      </c>
      <c r="C218" s="167" t="s">
        <v>570</v>
      </c>
      <c r="D218" s="167" t="s">
        <v>481</v>
      </c>
      <c r="E218" s="167" t="s">
        <v>524</v>
      </c>
      <c r="F218" s="167" t="s">
        <v>566</v>
      </c>
      <c r="G218" s="167" t="s">
        <v>131</v>
      </c>
    </row>
    <row r="219">
      <c r="A219" s="167" t="s">
        <v>571</v>
      </c>
      <c r="B219" s="167" t="str">
        <f>IFERROR(__xludf.DUMMYFUNCTION("GOOGLEFINANCE(A219,""Name"")"),"Whirlpool SA")</f>
        <v>Whirlpool SA</v>
      </c>
      <c r="C219" s="167" t="s">
        <v>572</v>
      </c>
      <c r="D219" s="167" t="s">
        <v>481</v>
      </c>
      <c r="E219" s="167" t="s">
        <v>573</v>
      </c>
      <c r="F219" s="167" t="s">
        <v>574</v>
      </c>
      <c r="G219" s="167" t="s">
        <v>131</v>
      </c>
    </row>
    <row r="220">
      <c r="A220" s="167" t="s">
        <v>575</v>
      </c>
      <c r="B220" s="167" t="str">
        <f>IFERROR(__xludf.DUMMYFUNCTION("GOOGLEFINANCE(A220,""Name"")"),"Whirlpool SA Preference Shares")</f>
        <v>Whirlpool SA Preference Shares</v>
      </c>
      <c r="C220" s="167" t="s">
        <v>572</v>
      </c>
      <c r="D220" s="167" t="s">
        <v>481</v>
      </c>
      <c r="E220" s="167" t="s">
        <v>573</v>
      </c>
      <c r="F220" s="167" t="s">
        <v>574</v>
      </c>
      <c r="G220" s="167" t="s">
        <v>131</v>
      </c>
    </row>
    <row r="221">
      <c r="A221" s="167" t="s">
        <v>576</v>
      </c>
      <c r="B221" s="167" t="str">
        <f>IFERROR(__xludf.DUMMYFUNCTION("GOOGLEFINANCE(A221,""Name"")"),"Unicasa Industria de Moveis S/A")</f>
        <v>Unicasa Industria de Moveis S/A</v>
      </c>
      <c r="C221" s="167" t="s">
        <v>577</v>
      </c>
      <c r="D221" s="167" t="s">
        <v>481</v>
      </c>
      <c r="E221" s="167" t="s">
        <v>573</v>
      </c>
      <c r="F221" s="167" t="s">
        <v>578</v>
      </c>
      <c r="G221" s="167" t="s">
        <v>131</v>
      </c>
    </row>
    <row r="222">
      <c r="A222" s="167" t="s">
        <v>579</v>
      </c>
      <c r="B222" s="167" t="str">
        <f>IFERROR(__xludf.DUMMYFUNCTION("GOOGLEFINANCE(A222,""Name"")"),"Hercules SA Fabrica De Talheres")</f>
        <v>Hercules SA Fabrica De Talheres</v>
      </c>
      <c r="C222" s="167" t="s">
        <v>580</v>
      </c>
      <c r="D222" s="167" t="s">
        <v>481</v>
      </c>
      <c r="E222" s="167" t="s">
        <v>573</v>
      </c>
      <c r="F222" s="167" t="s">
        <v>581</v>
      </c>
      <c r="G222" s="167" t="s">
        <v>131</v>
      </c>
    </row>
    <row r="223">
      <c r="A223" s="167" t="s">
        <v>582</v>
      </c>
      <c r="B223" s="167" t="str">
        <f>IFERROR(__xludf.DUMMYFUNCTION("GOOGLEFINANCE(A223,""Name"")"),"Hercules SA Fabrica De Talheres Preference Shares")</f>
        <v>Hercules SA Fabrica De Talheres Preference Shares</v>
      </c>
      <c r="C223" s="167" t="s">
        <v>580</v>
      </c>
      <c r="D223" s="167" t="s">
        <v>481</v>
      </c>
      <c r="E223" s="167" t="s">
        <v>573</v>
      </c>
      <c r="F223" s="167" t="s">
        <v>581</v>
      </c>
      <c r="G223" s="167" t="s">
        <v>131</v>
      </c>
    </row>
    <row r="224">
      <c r="A224" s="167" t="s">
        <v>583</v>
      </c>
      <c r="B224" s="167" t="str">
        <f>IFERROR(__xludf.DUMMYFUNCTION("GOOGLEFINANCE(A224,""Name"")"),"Iochpe-Maxion S.A.")</f>
        <v>Iochpe-Maxion S.A.</v>
      </c>
      <c r="C224" s="167" t="s">
        <v>584</v>
      </c>
      <c r="D224" s="167" t="s">
        <v>481</v>
      </c>
      <c r="E224" s="167" t="s">
        <v>585</v>
      </c>
      <c r="F224" s="167" t="s">
        <v>585</v>
      </c>
      <c r="G224" s="167" t="s">
        <v>131</v>
      </c>
    </row>
    <row r="225">
      <c r="A225" s="167" t="s">
        <v>586</v>
      </c>
      <c r="B225" s="167" t="str">
        <f>IFERROR(__xludf.DUMMYFUNCTION("GOOGLEFINANCE(A225,""Name"")"),"Mahle Metal Leve SA")</f>
        <v>Mahle Metal Leve SA</v>
      </c>
      <c r="C225" s="167" t="s">
        <v>587</v>
      </c>
      <c r="D225" s="167" t="s">
        <v>481</v>
      </c>
      <c r="E225" s="167" t="s">
        <v>585</v>
      </c>
      <c r="F225" s="167" t="s">
        <v>585</v>
      </c>
      <c r="G225" s="167" t="s">
        <v>131</v>
      </c>
    </row>
    <row r="226">
      <c r="A226" s="167" t="s">
        <v>588</v>
      </c>
      <c r="B226" s="167" t="str">
        <f>IFERROR(__xludf.DUMMYFUNCTION("GOOGLEFINANCE(A226,""Name"")"),"Plascar Participacoes Industriais SA")</f>
        <v>Plascar Participacoes Industriais SA</v>
      </c>
      <c r="C226" s="167" t="s">
        <v>589</v>
      </c>
      <c r="D226" s="167" t="s">
        <v>481</v>
      </c>
      <c r="E226" s="167" t="s">
        <v>585</v>
      </c>
      <c r="F226" s="167" t="s">
        <v>585</v>
      </c>
      <c r="G226" s="167" t="s">
        <v>131</v>
      </c>
    </row>
    <row r="227">
      <c r="A227" s="167" t="s">
        <v>590</v>
      </c>
      <c r="B227" s="167" t="str">
        <f>IFERROR(__xludf.DUMMYFUNCTION("GOOGLEFINANCE(A227,""Name"")"),"Hoteis Othon SA -em Recuperacao Judicial Preference Shares")</f>
        <v>Hoteis Othon SA -em Recuperacao Judicial Preference Shares</v>
      </c>
      <c r="C227" s="167" t="s">
        <v>591</v>
      </c>
      <c r="D227" s="167" t="s">
        <v>481</v>
      </c>
      <c r="E227" s="167" t="s">
        <v>592</v>
      </c>
      <c r="F227" s="167" t="s">
        <v>593</v>
      </c>
      <c r="G227" s="167" t="s">
        <v>131</v>
      </c>
    </row>
    <row r="228">
      <c r="A228" s="167" t="s">
        <v>594</v>
      </c>
      <c r="B228" s="167" t="str">
        <f>IFERROR(__xludf.DUMMYFUNCTION("GOOGLEFINANCE(A228,""Name"")"),"#N/A")</f>
        <v>#N/A</v>
      </c>
      <c r="C228" s="167" t="s">
        <v>595</v>
      </c>
      <c r="D228" s="167" t="s">
        <v>481</v>
      </c>
      <c r="E228" s="167" t="s">
        <v>592</v>
      </c>
      <c r="F228" s="167" t="s">
        <v>596</v>
      </c>
      <c r="G228" s="167" t="s">
        <v>131</v>
      </c>
    </row>
    <row r="229">
      <c r="A229" s="167" t="s">
        <v>597</v>
      </c>
      <c r="B229" s="167" t="str">
        <f>IFERROR(__xludf.DUMMYFUNCTION("GOOGLEFINANCE(A229,""Name"")"),"International Meal Company Alimentcao SA")</f>
        <v>International Meal Company Alimentcao SA</v>
      </c>
      <c r="C229" s="167" t="s">
        <v>598</v>
      </c>
      <c r="D229" s="167" t="s">
        <v>481</v>
      </c>
      <c r="E229" s="167" t="s">
        <v>592</v>
      </c>
      <c r="F229" s="167" t="s">
        <v>596</v>
      </c>
      <c r="G229" s="167" t="s">
        <v>131</v>
      </c>
    </row>
    <row r="230">
      <c r="A230" s="167" t="s">
        <v>599</v>
      </c>
      <c r="B230" s="167" t="str">
        <f>IFERROR(__xludf.DUMMYFUNCTION("GOOGLEFINANCE(A230,""Name"")"),"Bicicletas Monark SA")</f>
        <v>Bicicletas Monark SA</v>
      </c>
      <c r="C230" s="167" t="s">
        <v>600</v>
      </c>
      <c r="D230" s="167" t="s">
        <v>481</v>
      </c>
      <c r="E230" s="167" t="s">
        <v>601</v>
      </c>
      <c r="F230" s="167" t="s">
        <v>602</v>
      </c>
      <c r="G230" s="167" t="s">
        <v>131</v>
      </c>
    </row>
    <row r="231">
      <c r="A231" s="167" t="s">
        <v>603</v>
      </c>
      <c r="B231" s="167" t="str">
        <f>IFERROR(__xludf.DUMMYFUNCTION("GOOGLEFINANCE(A231,""Name"")"),"Manufatura de Brinquedos Estrela SA Preference Shares")</f>
        <v>Manufatura de Brinquedos Estrela SA Preference Shares</v>
      </c>
      <c r="C231" s="167" t="s">
        <v>604</v>
      </c>
      <c r="D231" s="167" t="s">
        <v>481</v>
      </c>
      <c r="E231" s="167" t="s">
        <v>601</v>
      </c>
      <c r="F231" s="167" t="s">
        <v>605</v>
      </c>
      <c r="G231" s="167" t="s">
        <v>131</v>
      </c>
    </row>
    <row r="232">
      <c r="A232" s="167" t="s">
        <v>606</v>
      </c>
      <c r="B232" s="167" t="str">
        <f>IFERROR(__xludf.DUMMYFUNCTION("GOOGLEFINANCE(A232,""Name"")"),"Sao Paulo Turismo SA")</f>
        <v>Sao Paulo Turismo SA</v>
      </c>
      <c r="C232" s="167" t="s">
        <v>607</v>
      </c>
      <c r="D232" s="167" t="s">
        <v>481</v>
      </c>
      <c r="E232" s="167" t="s">
        <v>601</v>
      </c>
      <c r="F232" s="167" t="s">
        <v>608</v>
      </c>
      <c r="G232" s="167" t="s">
        <v>131</v>
      </c>
    </row>
    <row r="233">
      <c r="A233" s="167" t="s">
        <v>609</v>
      </c>
      <c r="B233" s="167" t="str">
        <f>IFERROR(__xludf.DUMMYFUNCTION("GOOGLEFINANCE(A233,""Name"")"),"Sao Paulo Turismo Class Pref Shs Class A")</f>
        <v>Sao Paulo Turismo Class Pref Shs Class A</v>
      </c>
      <c r="C233" s="167" t="s">
        <v>607</v>
      </c>
      <c r="D233" s="167" t="s">
        <v>481</v>
      </c>
      <c r="E233" s="167" t="s">
        <v>601</v>
      </c>
      <c r="F233" s="167" t="s">
        <v>608</v>
      </c>
      <c r="G233" s="167" t="s">
        <v>131</v>
      </c>
    </row>
    <row r="234">
      <c r="A234" s="167" t="s">
        <v>610</v>
      </c>
      <c r="B234" s="167" t="str">
        <f>IFERROR(__xludf.DUMMYFUNCTION("GOOGLEFINANCE(A234,""Name"")"),"Sao Paulo Turismo Class Pref Shs Class B")</f>
        <v>Sao Paulo Turismo Class Pref Shs Class B</v>
      </c>
      <c r="C234" s="167" t="s">
        <v>607</v>
      </c>
      <c r="D234" s="167" t="s">
        <v>481</v>
      </c>
      <c r="E234" s="167" t="s">
        <v>601</v>
      </c>
      <c r="F234" s="167" t="s">
        <v>608</v>
      </c>
      <c r="G234" s="167" t="s">
        <v>131</v>
      </c>
    </row>
    <row r="235">
      <c r="A235" s="167" t="s">
        <v>611</v>
      </c>
      <c r="B235" s="167" t="str">
        <f>IFERROR(__xludf.DUMMYFUNCTION("GOOGLEFINANCE(A235,""Name"")"),"#N/A")</f>
        <v>#N/A</v>
      </c>
      <c r="C235" s="167" t="s">
        <v>612</v>
      </c>
      <c r="D235" s="167" t="s">
        <v>481</v>
      </c>
      <c r="E235" s="167" t="s">
        <v>601</v>
      </c>
      <c r="F235" s="167" t="s">
        <v>608</v>
      </c>
      <c r="G235" s="167" t="s">
        <v>131</v>
      </c>
    </row>
    <row r="236">
      <c r="A236" s="167" t="s">
        <v>613</v>
      </c>
      <c r="B236" s="167" t="str">
        <f>IFERROR(__xludf.DUMMYFUNCTION("GOOGLEFINANCE(A236,""Name"")"),"CVC Brasil Operadora e Agencia d Vgns SA")</f>
        <v>CVC Brasil Operadora e Agencia d Vgns SA</v>
      </c>
      <c r="C236" s="167" t="s">
        <v>614</v>
      </c>
      <c r="D236" s="167" t="s">
        <v>481</v>
      </c>
      <c r="E236" s="167" t="s">
        <v>601</v>
      </c>
      <c r="F236" s="167" t="s">
        <v>615</v>
      </c>
      <c r="G236" s="167" t="s">
        <v>131</v>
      </c>
    </row>
    <row r="237">
      <c r="A237" s="167" t="s">
        <v>616</v>
      </c>
      <c r="B237" s="167" t="str">
        <f>IFERROR(__xludf.DUMMYFUNCTION("GOOGLEFINANCE(A237,""Name"")"),"Smartfit Escola de Ginastica e Danca SA")</f>
        <v>Smartfit Escola de Ginastica e Danca SA</v>
      </c>
      <c r="C237" s="167" t="s">
        <v>617</v>
      </c>
      <c r="D237" s="167" t="s">
        <v>481</v>
      </c>
      <c r="E237" s="167" t="s">
        <v>601</v>
      </c>
      <c r="F237" s="167" t="s">
        <v>618</v>
      </c>
      <c r="G237" s="167" t="s">
        <v>131</v>
      </c>
    </row>
    <row r="238">
      <c r="A238" s="167" t="s">
        <v>619</v>
      </c>
      <c r="B238" s="167" t="str">
        <f>IFERROR(__xludf.DUMMYFUNCTION("GOOGLEFINANCE(A238,""Name"")"),"Anima Holding SA")</f>
        <v>Anima Holding SA</v>
      </c>
      <c r="C238" s="167" t="s">
        <v>620</v>
      </c>
      <c r="D238" s="167" t="s">
        <v>481</v>
      </c>
      <c r="E238" s="167" t="s">
        <v>621</v>
      </c>
      <c r="F238" s="167" t="s">
        <v>622</v>
      </c>
      <c r="G238" s="167" t="s">
        <v>131</v>
      </c>
    </row>
    <row r="239">
      <c r="A239" s="167" t="s">
        <v>623</v>
      </c>
      <c r="B239" s="167" t="str">
        <f>IFERROR(__xludf.DUMMYFUNCTION("GOOGLEFINANCE(A239,""Name"")"),"#N/A")</f>
        <v>#N/A</v>
      </c>
      <c r="C239" s="167" t="s">
        <v>624</v>
      </c>
      <c r="D239" s="167" t="s">
        <v>481</v>
      </c>
      <c r="E239" s="167" t="s">
        <v>621</v>
      </c>
      <c r="F239" s="167" t="s">
        <v>622</v>
      </c>
      <c r="G239" s="167" t="s">
        <v>131</v>
      </c>
    </row>
    <row r="240">
      <c r="A240" s="167" t="s">
        <v>625</v>
      </c>
      <c r="B240" s="167" t="str">
        <f>IFERROR(__xludf.DUMMYFUNCTION("GOOGLEFINANCE(A240,""Name"")"),"Cogna Educacao SA")</f>
        <v>Cogna Educacao SA</v>
      </c>
      <c r="C240" s="167" t="s">
        <v>626</v>
      </c>
      <c r="D240" s="167" t="s">
        <v>481</v>
      </c>
      <c r="E240" s="167" t="s">
        <v>621</v>
      </c>
      <c r="F240" s="167" t="s">
        <v>622</v>
      </c>
      <c r="G240" s="167" t="s">
        <v>131</v>
      </c>
    </row>
    <row r="241">
      <c r="A241" s="167" t="s">
        <v>627</v>
      </c>
      <c r="B241" s="167" t="str">
        <f>IFERROR(__xludf.DUMMYFUNCTION("GOOGLEFINANCE(A241,""Name"")"),"Ser Educacional SA")</f>
        <v>Ser Educacional SA</v>
      </c>
      <c r="C241" s="167" t="s">
        <v>628</v>
      </c>
      <c r="D241" s="167" t="s">
        <v>481</v>
      </c>
      <c r="E241" s="167" t="s">
        <v>621</v>
      </c>
      <c r="F241" s="167" t="s">
        <v>622</v>
      </c>
      <c r="G241" s="167" t="s">
        <v>131</v>
      </c>
    </row>
    <row r="242">
      <c r="A242" s="167" t="s">
        <v>629</v>
      </c>
      <c r="B242" s="167" t="str">
        <f>IFERROR(__xludf.DUMMYFUNCTION("GOOGLEFINANCE(A242,""Name"")"),"YDUQS Participacoes SA")</f>
        <v>YDUQS Participacoes SA</v>
      </c>
      <c r="C242" s="167" t="s">
        <v>630</v>
      </c>
      <c r="D242" s="167" t="s">
        <v>481</v>
      </c>
      <c r="E242" s="167" t="s">
        <v>621</v>
      </c>
      <c r="F242" s="167" t="s">
        <v>622</v>
      </c>
      <c r="G242" s="167" t="s">
        <v>131</v>
      </c>
    </row>
    <row r="243">
      <c r="A243" s="167" t="s">
        <v>631</v>
      </c>
      <c r="B243" s="167" t="str">
        <f>IFERROR(__xludf.DUMMYFUNCTION("GOOGLEFINANCE(A243,""Name"")"),"Localiza Rent a Car Cedar")</f>
        <v>Localiza Rent a Car Cedar</v>
      </c>
      <c r="C243" s="167" t="s">
        <v>632</v>
      </c>
      <c r="D243" s="167" t="s">
        <v>481</v>
      </c>
      <c r="E243" s="167" t="s">
        <v>621</v>
      </c>
      <c r="F243" s="167" t="s">
        <v>633</v>
      </c>
      <c r="G243" s="167" t="s">
        <v>131</v>
      </c>
    </row>
    <row r="244">
      <c r="A244" s="167" t="s">
        <v>634</v>
      </c>
      <c r="B244" s="167" t="str">
        <f>IFERROR(__xludf.DUMMYFUNCTION("GOOGLEFINANCE(A244,""Name"")"),"#N/A")</f>
        <v>#N/A</v>
      </c>
      <c r="C244" s="167" t="s">
        <v>635</v>
      </c>
      <c r="D244" s="167" t="s">
        <v>481</v>
      </c>
      <c r="E244" s="167" t="s">
        <v>621</v>
      </c>
      <c r="F244" s="167" t="s">
        <v>633</v>
      </c>
      <c r="G244" s="167" t="s">
        <v>131</v>
      </c>
    </row>
    <row r="245">
      <c r="A245" s="167" t="s">
        <v>636</v>
      </c>
      <c r="B245" s="167" t="str">
        <f>IFERROR(__xludf.DUMMYFUNCTION("GOOGLEFINANCE(A245,""Name"")"),"#N/A")</f>
        <v>#N/A</v>
      </c>
      <c r="C245" s="167" t="s">
        <v>637</v>
      </c>
      <c r="D245" s="167" t="s">
        <v>481</v>
      </c>
      <c r="E245" s="167" t="s">
        <v>621</v>
      </c>
      <c r="F245" s="167" t="s">
        <v>633</v>
      </c>
      <c r="G245" s="167" t="s">
        <v>131</v>
      </c>
    </row>
    <row r="246">
      <c r="A246" s="167" t="s">
        <v>638</v>
      </c>
      <c r="B246" s="167" t="str">
        <f>IFERROR(__xludf.DUMMYFUNCTION("GOOGLEFINANCE(A246,""Name"")"),"Movida Participacoes SA")</f>
        <v>Movida Participacoes SA</v>
      </c>
      <c r="C246" s="167" t="s">
        <v>639</v>
      </c>
      <c r="D246" s="167" t="s">
        <v>481</v>
      </c>
      <c r="E246" s="167" t="s">
        <v>621</v>
      </c>
      <c r="F246" s="167" t="s">
        <v>633</v>
      </c>
      <c r="G246" s="167" t="s">
        <v>131</v>
      </c>
    </row>
    <row r="247">
      <c r="A247" s="167" t="s">
        <v>640</v>
      </c>
      <c r="B247" s="167" t="str">
        <f>IFERROR(__xludf.DUMMYFUNCTION("GOOGLEFINANCE(A247,""Name"")"),"#N/A")</f>
        <v>#N/A</v>
      </c>
      <c r="C247" s="167" t="s">
        <v>641</v>
      </c>
      <c r="D247" s="167" t="s">
        <v>481</v>
      </c>
      <c r="E247" s="167" t="s">
        <v>621</v>
      </c>
      <c r="F247" s="167" t="s">
        <v>642</v>
      </c>
      <c r="G247" s="167" t="s">
        <v>131</v>
      </c>
    </row>
    <row r="248">
      <c r="A248" s="167" t="s">
        <v>643</v>
      </c>
      <c r="B248" s="167" t="str">
        <f>IFERROR(__xludf.DUMMYFUNCTION("GOOGLEFINANCE(A248,""Name"")"),"#N/A")</f>
        <v>#N/A</v>
      </c>
      <c r="C248" s="167" t="s">
        <v>644</v>
      </c>
      <c r="D248" s="167" t="s">
        <v>481</v>
      </c>
      <c r="E248" s="167" t="s">
        <v>421</v>
      </c>
      <c r="F248" s="167" t="s">
        <v>524</v>
      </c>
      <c r="G248" s="167" t="s">
        <v>131</v>
      </c>
    </row>
    <row r="249">
      <c r="A249" s="167" t="s">
        <v>645</v>
      </c>
      <c r="B249" s="167" t="str">
        <f>IFERROR(__xludf.DUMMYFUNCTION("GOOGLEFINANCE(A249,""Name"")"),"C&amp;A Modas SA")</f>
        <v>C&amp;A Modas SA</v>
      </c>
      <c r="C249" s="167" t="s">
        <v>646</v>
      </c>
      <c r="D249" s="167" t="s">
        <v>481</v>
      </c>
      <c r="E249" s="167" t="s">
        <v>421</v>
      </c>
      <c r="F249" s="167" t="s">
        <v>524</v>
      </c>
      <c r="G249" s="167" t="s">
        <v>131</v>
      </c>
    </row>
    <row r="250">
      <c r="A250" s="167" t="s">
        <v>647</v>
      </c>
      <c r="B250" s="167" t="str">
        <f>IFERROR(__xludf.DUMMYFUNCTION("GOOGLEFINANCE(A250,""Name"")"),"Grazziotin SA")</f>
        <v>Grazziotin SA</v>
      </c>
      <c r="C250" s="167" t="s">
        <v>648</v>
      </c>
      <c r="D250" s="167" t="s">
        <v>481</v>
      </c>
      <c r="E250" s="167" t="s">
        <v>421</v>
      </c>
      <c r="F250" s="167" t="s">
        <v>524</v>
      </c>
      <c r="G250" s="167" t="s">
        <v>131</v>
      </c>
    </row>
    <row r="251">
      <c r="A251" s="167" t="s">
        <v>649</v>
      </c>
      <c r="B251" s="167" t="str">
        <f>IFERROR(__xludf.DUMMYFUNCTION("GOOGLEFINANCE(A251,""Name"")"),"Grazziotin SA Preference Shares")</f>
        <v>Grazziotin SA Preference Shares</v>
      </c>
      <c r="C251" s="167" t="s">
        <v>648</v>
      </c>
      <c r="D251" s="167" t="s">
        <v>481</v>
      </c>
      <c r="E251" s="167" t="s">
        <v>421</v>
      </c>
      <c r="F251" s="167" t="s">
        <v>524</v>
      </c>
      <c r="G251" s="167" t="s">
        <v>131</v>
      </c>
    </row>
    <row r="252">
      <c r="A252" s="167" t="s">
        <v>650</v>
      </c>
      <c r="B252" s="167" t="str">
        <f>IFERROR(__xludf.DUMMYFUNCTION("GOOGLEFINANCE(A252,""Name"")"),"#N/A")</f>
        <v>#N/A</v>
      </c>
      <c r="C252" s="167" t="s">
        <v>651</v>
      </c>
      <c r="D252" s="167" t="s">
        <v>481</v>
      </c>
      <c r="E252" s="167" t="s">
        <v>421</v>
      </c>
      <c r="F252" s="167" t="s">
        <v>524</v>
      </c>
      <c r="G252" s="167" t="s">
        <v>131</v>
      </c>
    </row>
    <row r="253">
      <c r="A253" s="167" t="s">
        <v>652</v>
      </c>
      <c r="B253" s="167" t="str">
        <f>IFERROR(__xludf.DUMMYFUNCTION("GOOGLEFINANCE(A253,""Name"")"),"#N/A")</f>
        <v>#N/A</v>
      </c>
      <c r="C253" s="167" t="s">
        <v>653</v>
      </c>
      <c r="D253" s="167" t="s">
        <v>481</v>
      </c>
      <c r="E253" s="167" t="s">
        <v>421</v>
      </c>
      <c r="F253" s="167" t="s">
        <v>524</v>
      </c>
      <c r="G253" s="167" t="s">
        <v>131</v>
      </c>
    </row>
    <row r="254">
      <c r="A254" s="167" t="s">
        <v>654</v>
      </c>
      <c r="B254" s="167" t="str">
        <f>IFERROR(__xludf.DUMMYFUNCTION("GOOGLEFINANCE(A254,""Name"")"),"Marisa Lojas SA")</f>
        <v>Marisa Lojas SA</v>
      </c>
      <c r="C254" s="167" t="s">
        <v>655</v>
      </c>
      <c r="D254" s="167" t="s">
        <v>481</v>
      </c>
      <c r="E254" s="167" t="s">
        <v>421</v>
      </c>
      <c r="F254" s="167" t="s">
        <v>524</v>
      </c>
      <c r="G254" s="167" t="s">
        <v>131</v>
      </c>
    </row>
    <row r="255">
      <c r="A255" s="167" t="s">
        <v>656</v>
      </c>
      <c r="B255" s="167" t="str">
        <f>IFERROR(__xludf.DUMMYFUNCTION("GOOGLEFINANCE(A255,""Name"")"),"Lojas Renner Cedar")</f>
        <v>Lojas Renner Cedar</v>
      </c>
      <c r="C255" s="167" t="s">
        <v>657</v>
      </c>
      <c r="D255" s="167" t="s">
        <v>481</v>
      </c>
      <c r="E255" s="167" t="s">
        <v>421</v>
      </c>
      <c r="F255" s="167" t="s">
        <v>524</v>
      </c>
      <c r="G255" s="167" t="s">
        <v>131</v>
      </c>
    </row>
    <row r="256">
      <c r="A256" s="167" t="s">
        <v>658</v>
      </c>
      <c r="B256" s="167" t="str">
        <f>IFERROR(__xludf.DUMMYFUNCTION("GOOGLEFINANCE(A256,""Name"")"),"Magazine Luiza Cedar")</f>
        <v>Magazine Luiza Cedar</v>
      </c>
      <c r="C256" s="167" t="s">
        <v>659</v>
      </c>
      <c r="D256" s="167" t="s">
        <v>481</v>
      </c>
      <c r="E256" s="167" t="s">
        <v>421</v>
      </c>
      <c r="F256" s="167" t="s">
        <v>574</v>
      </c>
      <c r="G256" s="167" t="s">
        <v>131</v>
      </c>
    </row>
    <row r="257">
      <c r="A257" s="167" t="s">
        <v>660</v>
      </c>
      <c r="B257" s="167" t="str">
        <f>IFERROR(__xludf.DUMMYFUNCTION("GOOGLEFINANCE(A257,""Name"")"),"#N/A")</f>
        <v>#N/A</v>
      </c>
      <c r="C257" s="167" t="s">
        <v>661</v>
      </c>
      <c r="D257" s="167" t="s">
        <v>481</v>
      </c>
      <c r="E257" s="167" t="s">
        <v>421</v>
      </c>
      <c r="F257" s="167" t="s">
        <v>574</v>
      </c>
      <c r="G257" s="167" t="s">
        <v>131</v>
      </c>
    </row>
    <row r="258">
      <c r="A258" s="167" t="s">
        <v>662</v>
      </c>
      <c r="B258" s="167" t="str">
        <f>IFERROR(__xludf.DUMMYFUNCTION("GOOGLEFINANCE(A258,""Name"")"),"Americanas SA - Em Recuperacao Judicial")</f>
        <v>Americanas SA - Em Recuperacao Judicial</v>
      </c>
      <c r="C258" s="167" t="s">
        <v>663</v>
      </c>
      <c r="D258" s="167" t="s">
        <v>481</v>
      </c>
      <c r="E258" s="167" t="s">
        <v>421</v>
      </c>
      <c r="F258" s="167" t="s">
        <v>664</v>
      </c>
      <c r="G258" s="167" t="s">
        <v>131</v>
      </c>
    </row>
    <row r="259">
      <c r="A259" s="167" t="s">
        <v>665</v>
      </c>
      <c r="B259" s="167" t="str">
        <f>IFERROR(__xludf.DUMMYFUNCTION("GOOGLEFINANCE(A259,""Name"")"),"Grupo SBF SA")</f>
        <v>Grupo SBF SA</v>
      </c>
      <c r="C259" s="167" t="s">
        <v>666</v>
      </c>
      <c r="D259" s="167" t="s">
        <v>481</v>
      </c>
      <c r="E259" s="167" t="s">
        <v>421</v>
      </c>
      <c r="F259" s="167" t="s">
        <v>664</v>
      </c>
      <c r="G259" s="167" t="s">
        <v>131</v>
      </c>
    </row>
    <row r="260">
      <c r="A260" s="167" t="s">
        <v>667</v>
      </c>
      <c r="B260" s="167" t="str">
        <f>IFERROR(__xludf.DUMMYFUNCTION("GOOGLEFINANCE(A260,""Name"")"),"#N/A")</f>
        <v>#N/A</v>
      </c>
      <c r="C260" s="167" t="s">
        <v>668</v>
      </c>
      <c r="D260" s="167" t="s">
        <v>481</v>
      </c>
      <c r="E260" s="167" t="s">
        <v>421</v>
      </c>
      <c r="F260" s="167" t="s">
        <v>664</v>
      </c>
      <c r="G260" s="167" t="s">
        <v>131</v>
      </c>
    </row>
    <row r="261">
      <c r="A261" s="167" t="s">
        <v>669</v>
      </c>
      <c r="B261" s="167" t="str">
        <f>IFERROR(__xludf.DUMMYFUNCTION("GOOGLEFINANCE(A261,""Name"")"),"#N/A")</f>
        <v>#N/A</v>
      </c>
      <c r="C261" s="167" t="s">
        <v>668</v>
      </c>
      <c r="D261" s="167" t="s">
        <v>481</v>
      </c>
      <c r="E261" s="167" t="s">
        <v>421</v>
      </c>
      <c r="F261" s="167" t="s">
        <v>664</v>
      </c>
      <c r="G261" s="167" t="s">
        <v>131</v>
      </c>
    </row>
    <row r="262">
      <c r="A262" s="167" t="s">
        <v>670</v>
      </c>
      <c r="B262" s="167" t="str">
        <f>IFERROR(__xludf.DUMMYFUNCTION("GOOGLEFINANCE(A262,""Name"")"),"#N/A")</f>
        <v>#N/A</v>
      </c>
      <c r="C262" s="167" t="s">
        <v>671</v>
      </c>
      <c r="D262" s="167" t="s">
        <v>481</v>
      </c>
      <c r="E262" s="167" t="s">
        <v>421</v>
      </c>
      <c r="F262" s="167" t="s">
        <v>664</v>
      </c>
      <c r="G262" s="167" t="s">
        <v>131</v>
      </c>
    </row>
    <row r="263">
      <c r="A263" s="167" t="s">
        <v>672</v>
      </c>
      <c r="B263" s="167" t="str">
        <f>IFERROR(__xludf.DUMMYFUNCTION("GOOGLEFINANCE(A263,""Name"")"),"#N/A")</f>
        <v>#N/A</v>
      </c>
      <c r="C263" s="167" t="s">
        <v>671</v>
      </c>
      <c r="D263" s="167" t="s">
        <v>481</v>
      </c>
      <c r="E263" s="167" t="s">
        <v>421</v>
      </c>
      <c r="F263" s="167" t="s">
        <v>664</v>
      </c>
      <c r="G263" s="167" t="s">
        <v>131</v>
      </c>
    </row>
    <row r="264">
      <c r="A264" s="167" t="s">
        <v>673</v>
      </c>
      <c r="B264" s="167" t="str">
        <f>IFERROR(__xludf.DUMMYFUNCTION("GOOGLEFINANCE(A264,""Name"")"),"Biomm SA")</f>
        <v>Biomm SA</v>
      </c>
      <c r="C264" s="167" t="s">
        <v>674</v>
      </c>
      <c r="D264" s="167" t="s">
        <v>675</v>
      </c>
      <c r="E264" s="167" t="s">
        <v>245</v>
      </c>
      <c r="F264" s="167" t="s">
        <v>245</v>
      </c>
      <c r="G264" s="167" t="s">
        <v>131</v>
      </c>
    </row>
    <row r="265">
      <c r="A265" s="167" t="s">
        <v>676</v>
      </c>
      <c r="B265" s="167" t="str">
        <f>IFERROR(__xludf.DUMMYFUNCTION("GOOGLEFINANCE(A265,""Name"")"),"#N/A")</f>
        <v>#N/A</v>
      </c>
      <c r="C265" s="167" t="s">
        <v>677</v>
      </c>
      <c r="D265" s="167" t="s">
        <v>675</v>
      </c>
      <c r="E265" s="167" t="s">
        <v>245</v>
      </c>
      <c r="F265" s="167" t="s">
        <v>245</v>
      </c>
      <c r="G265" s="167" t="s">
        <v>131</v>
      </c>
    </row>
    <row r="266">
      <c r="A266" s="167" t="s">
        <v>678</v>
      </c>
      <c r="B266" s="167" t="str">
        <f>IFERROR(__xludf.DUMMYFUNCTION("GOOGLEFINANCE(A266,""Name"")"),"Ourofino SA")</f>
        <v>Ourofino SA</v>
      </c>
      <c r="C266" s="167" t="s">
        <v>679</v>
      </c>
      <c r="D266" s="167" t="s">
        <v>675</v>
      </c>
      <c r="E266" s="167" t="s">
        <v>245</v>
      </c>
      <c r="F266" s="167" t="s">
        <v>245</v>
      </c>
      <c r="G266" s="167" t="s">
        <v>131</v>
      </c>
    </row>
    <row r="267">
      <c r="A267" s="167" t="s">
        <v>680</v>
      </c>
      <c r="B267" s="167" t="str">
        <f>IFERROR(__xludf.DUMMYFUNCTION("GOOGLEFINANCE(A267,""Name"")"),"#N/A")</f>
        <v>#N/A</v>
      </c>
      <c r="C267" s="167" t="s">
        <v>681</v>
      </c>
      <c r="D267" s="167" t="s">
        <v>675</v>
      </c>
      <c r="E267" s="167" t="s">
        <v>682</v>
      </c>
      <c r="F267" s="167" t="s">
        <v>682</v>
      </c>
      <c r="G267" s="167" t="s">
        <v>131</v>
      </c>
    </row>
    <row r="268">
      <c r="A268" s="167" t="s">
        <v>683</v>
      </c>
      <c r="B268" s="167" t="str">
        <f>IFERROR(__xludf.DUMMYFUNCTION("GOOGLEFINANCE(A268,""Name"")"),"Allianca Saude e Participacoes SA")</f>
        <v>Allianca Saude e Participacoes SA</v>
      </c>
      <c r="C268" s="167" t="s">
        <v>684</v>
      </c>
      <c r="D268" s="167" t="s">
        <v>675</v>
      </c>
      <c r="E268" s="167" t="s">
        <v>682</v>
      </c>
      <c r="F268" s="167" t="s">
        <v>682</v>
      </c>
      <c r="G268" s="167" t="s">
        <v>131</v>
      </c>
    </row>
    <row r="269">
      <c r="A269" s="167" t="s">
        <v>685</v>
      </c>
      <c r="B269" s="167" t="str">
        <f>IFERROR(__xludf.DUMMYFUNCTION("GOOGLEFINANCE(A269,""Name"")"),"Diagnosticos da America SA")</f>
        <v>Diagnosticos da America SA</v>
      </c>
      <c r="C269" s="167" t="s">
        <v>686</v>
      </c>
      <c r="D269" s="167" t="s">
        <v>675</v>
      </c>
      <c r="E269" s="167" t="s">
        <v>682</v>
      </c>
      <c r="F269" s="167" t="s">
        <v>682</v>
      </c>
      <c r="G269" s="167" t="s">
        <v>131</v>
      </c>
    </row>
    <row r="270">
      <c r="A270" s="167" t="s">
        <v>687</v>
      </c>
      <c r="B270" s="167" t="str">
        <f>IFERROR(__xludf.DUMMYFUNCTION("GOOGLEFINANCE(A270,""Name"")"),"Fleury SA")</f>
        <v>Fleury SA</v>
      </c>
      <c r="C270" s="167" t="s">
        <v>688</v>
      </c>
      <c r="D270" s="167" t="s">
        <v>675</v>
      </c>
      <c r="E270" s="167" t="s">
        <v>682</v>
      </c>
      <c r="F270" s="167" t="s">
        <v>682</v>
      </c>
      <c r="G270" s="167" t="s">
        <v>131</v>
      </c>
    </row>
    <row r="271">
      <c r="A271" s="167" t="s">
        <v>689</v>
      </c>
      <c r="B271" s="167" t="str">
        <f>IFERROR(__xludf.DUMMYFUNCTION("GOOGLEFINANCE(A271,""Name"")"),"Hapvida Par e Invest Cedar")</f>
        <v>Hapvida Par e Invest Cedar</v>
      </c>
      <c r="C271" s="167" t="s">
        <v>690</v>
      </c>
      <c r="D271" s="167" t="s">
        <v>675</v>
      </c>
      <c r="E271" s="167" t="s">
        <v>682</v>
      </c>
      <c r="F271" s="167" t="s">
        <v>682</v>
      </c>
      <c r="G271" s="167" t="s">
        <v>131</v>
      </c>
    </row>
    <row r="272">
      <c r="A272" s="167" t="s">
        <v>691</v>
      </c>
      <c r="B272" s="167" t="str">
        <f>IFERROR(__xludf.DUMMYFUNCTION("GOOGLEFINANCE(A272,""Name"")"),"#N/A")</f>
        <v>#N/A</v>
      </c>
      <c r="C272" s="167" t="s">
        <v>692</v>
      </c>
      <c r="D272" s="167" t="s">
        <v>675</v>
      </c>
      <c r="E272" s="167" t="s">
        <v>682</v>
      </c>
      <c r="F272" s="167" t="s">
        <v>682</v>
      </c>
      <c r="G272" s="167" t="s">
        <v>131</v>
      </c>
    </row>
    <row r="273">
      <c r="A273" s="167" t="s">
        <v>693</v>
      </c>
      <c r="B273" s="167" t="str">
        <f>IFERROR(__xludf.DUMMYFUNCTION("GOOGLEFINANCE(A273,""Name"")"),"#N/A")</f>
        <v>#N/A</v>
      </c>
      <c r="C273" s="167" t="s">
        <v>694</v>
      </c>
      <c r="D273" s="167" t="s">
        <v>675</v>
      </c>
      <c r="E273" s="167" t="s">
        <v>682</v>
      </c>
      <c r="F273" s="167" t="s">
        <v>682</v>
      </c>
      <c r="G273" s="167" t="s">
        <v>131</v>
      </c>
    </row>
    <row r="274">
      <c r="A274" s="167" t="s">
        <v>695</v>
      </c>
      <c r="B274" s="167" t="str">
        <f>IFERROR(__xludf.DUMMYFUNCTION("GOOGLEFINANCE(A274,""Name"")"),"#N/A")</f>
        <v>#N/A</v>
      </c>
      <c r="C274" s="167" t="s">
        <v>696</v>
      </c>
      <c r="D274" s="167" t="s">
        <v>675</v>
      </c>
      <c r="E274" s="167" t="s">
        <v>682</v>
      </c>
      <c r="F274" s="167" t="s">
        <v>682</v>
      </c>
      <c r="G274" s="167" t="s">
        <v>131</v>
      </c>
    </row>
    <row r="275">
      <c r="A275" s="167" t="s">
        <v>697</v>
      </c>
      <c r="B275" s="167" t="str">
        <f>IFERROR(__xludf.DUMMYFUNCTION("GOOGLEFINANCE(A275,""Name"")"),"Qualicorp Consultoria e Cra de Ses SA")</f>
        <v>Qualicorp Consultoria e Cra de Ses SA</v>
      </c>
      <c r="C275" s="167" t="s">
        <v>698</v>
      </c>
      <c r="D275" s="167" t="s">
        <v>675</v>
      </c>
      <c r="E275" s="167" t="s">
        <v>682</v>
      </c>
      <c r="F275" s="167" t="s">
        <v>682</v>
      </c>
      <c r="G275" s="167" t="s">
        <v>131</v>
      </c>
    </row>
    <row r="276">
      <c r="A276" s="167" t="s">
        <v>699</v>
      </c>
      <c r="B276" s="167" t="str">
        <f>IFERROR(__xludf.DUMMYFUNCTION("GOOGLEFINANCE(A276,""Name"")"),"Baumer SA")</f>
        <v>Baumer SA</v>
      </c>
      <c r="C276" s="167" t="s">
        <v>700</v>
      </c>
      <c r="D276" s="167" t="s">
        <v>675</v>
      </c>
      <c r="E276" s="167" t="s">
        <v>701</v>
      </c>
      <c r="F276" s="167" t="s">
        <v>701</v>
      </c>
      <c r="G276" s="167" t="s">
        <v>131</v>
      </c>
    </row>
    <row r="277">
      <c r="A277" s="167" t="s">
        <v>702</v>
      </c>
      <c r="B277" s="167" t="str">
        <f>IFERROR(__xludf.DUMMYFUNCTION("GOOGLEFINANCE(A277,""Name"")"),"Baumer SA Preference Shares")</f>
        <v>Baumer SA Preference Shares</v>
      </c>
      <c r="C277" s="167" t="s">
        <v>700</v>
      </c>
      <c r="D277" s="167" t="s">
        <v>675</v>
      </c>
      <c r="E277" s="167" t="s">
        <v>701</v>
      </c>
      <c r="F277" s="167" t="s">
        <v>701</v>
      </c>
      <c r="G277" s="167" t="s">
        <v>131</v>
      </c>
    </row>
    <row r="278">
      <c r="A278" s="167" t="s">
        <v>703</v>
      </c>
      <c r="B278" s="167" t="str">
        <f>IFERROR(__xludf.DUMMYFUNCTION("GOOGLEFINANCE(A278,""Name"")"),"Lifemed ndstrl d qpmnts  rtgs Mdcs  Hspt")</f>
        <v>Lifemed ndstrl d qpmnts  rtgs Mdcs  Hspt</v>
      </c>
      <c r="C278" s="167" t="s">
        <v>704</v>
      </c>
      <c r="D278" s="167" t="s">
        <v>675</v>
      </c>
      <c r="E278" s="167" t="s">
        <v>701</v>
      </c>
      <c r="F278" s="167" t="s">
        <v>701</v>
      </c>
      <c r="G278" s="167" t="s">
        <v>131</v>
      </c>
    </row>
    <row r="279">
      <c r="A279" s="167" t="s">
        <v>705</v>
      </c>
      <c r="B279" s="167" t="str">
        <f>IFERROR(__xludf.DUMMYFUNCTION("GOOGLEFINANCE(A279,""Name"")"),"Dimed SA Distribuidora de Medicamentos")</f>
        <v>Dimed SA Distribuidora de Medicamentos</v>
      </c>
      <c r="C279" s="167" t="s">
        <v>706</v>
      </c>
      <c r="D279" s="167" t="s">
        <v>675</v>
      </c>
      <c r="E279" s="167" t="s">
        <v>475</v>
      </c>
      <c r="F279" s="167" t="s">
        <v>245</v>
      </c>
      <c r="G279" s="167" t="s">
        <v>131</v>
      </c>
    </row>
    <row r="280">
      <c r="A280" s="167" t="s">
        <v>707</v>
      </c>
      <c r="B280" s="167" t="str">
        <f>IFERROR(__xludf.DUMMYFUNCTION("GOOGLEFINANCE(A280,""Name"")"),"#N/A")</f>
        <v>#N/A</v>
      </c>
      <c r="C280" s="167" t="s">
        <v>706</v>
      </c>
      <c r="D280" s="167" t="s">
        <v>675</v>
      </c>
      <c r="E280" s="167" t="s">
        <v>475</v>
      </c>
      <c r="F280" s="167" t="s">
        <v>245</v>
      </c>
      <c r="G280" s="167" t="s">
        <v>131</v>
      </c>
    </row>
    <row r="281">
      <c r="A281" s="167" t="s">
        <v>91</v>
      </c>
      <c r="B281" s="167" t="str">
        <f>IFERROR(__xludf.DUMMYFUNCTION("GOOGLEFINANCE(A281,""Name"")"),"Hypera SA")</f>
        <v>Hypera SA</v>
      </c>
      <c r="C281" s="167" t="s">
        <v>708</v>
      </c>
      <c r="D281" s="167" t="s">
        <v>675</v>
      </c>
      <c r="E281" s="167" t="s">
        <v>475</v>
      </c>
      <c r="F281" s="167" t="s">
        <v>245</v>
      </c>
      <c r="G281" s="167" t="s">
        <v>131</v>
      </c>
    </row>
    <row r="282">
      <c r="A282" s="167" t="s">
        <v>709</v>
      </c>
      <c r="B282" s="167" t="str">
        <f>IFERROR(__xludf.DUMMYFUNCTION("GOOGLEFINANCE(A282,""Name"")"),"Profarma Distribuidora de Produts Frm SA")</f>
        <v>Profarma Distribuidora de Produts Frm SA</v>
      </c>
      <c r="C282" s="167" t="s">
        <v>710</v>
      </c>
      <c r="D282" s="167" t="s">
        <v>675</v>
      </c>
      <c r="E282" s="167" t="s">
        <v>475</v>
      </c>
      <c r="F282" s="167" t="s">
        <v>245</v>
      </c>
      <c r="G282" s="167" t="s">
        <v>131</v>
      </c>
    </row>
    <row r="283">
      <c r="A283" s="167" t="s">
        <v>711</v>
      </c>
      <c r="B283" s="167" t="str">
        <f>IFERROR(__xludf.DUMMYFUNCTION("GOOGLEFINANCE(A283,""Name"")"),"Raia Drogasil S/A")</f>
        <v>Raia Drogasil S/A</v>
      </c>
      <c r="C283" s="167" t="s">
        <v>712</v>
      </c>
      <c r="D283" s="167" t="s">
        <v>675</v>
      </c>
      <c r="E283" s="167" t="s">
        <v>475</v>
      </c>
      <c r="F283" s="167" t="s">
        <v>245</v>
      </c>
      <c r="G283" s="167" t="s">
        <v>131</v>
      </c>
    </row>
    <row r="284">
      <c r="A284" s="167" t="s">
        <v>713</v>
      </c>
      <c r="B284" s="167" t="str">
        <f>IFERROR(__xludf.DUMMYFUNCTION("GOOGLEFINANCE(A284,""Name"")"),"Positivo Tecnologia SA")</f>
        <v>Positivo Tecnologia SA</v>
      </c>
      <c r="C284" s="167" t="s">
        <v>714</v>
      </c>
      <c r="D284" s="167" t="s">
        <v>715</v>
      </c>
      <c r="E284" s="167" t="s">
        <v>716</v>
      </c>
      <c r="F284" s="167" t="s">
        <v>716</v>
      </c>
      <c r="G284" s="167" t="s">
        <v>131</v>
      </c>
    </row>
    <row r="285">
      <c r="A285" s="167" t="s">
        <v>717</v>
      </c>
      <c r="B285" s="167" t="str">
        <f>IFERROR(__xludf.DUMMYFUNCTION("GOOGLEFINANCE(A285,""Name"")"),"BRQ Solucoes em Informatica SA")</f>
        <v>BRQ Solucoes em Informatica SA</v>
      </c>
      <c r="C285" s="167" t="s">
        <v>718</v>
      </c>
      <c r="D285" s="167" t="s">
        <v>715</v>
      </c>
      <c r="E285" s="167" t="s">
        <v>719</v>
      </c>
      <c r="F285" s="167" t="s">
        <v>719</v>
      </c>
      <c r="G285" s="167" t="s">
        <v>131</v>
      </c>
    </row>
    <row r="286">
      <c r="A286" s="167" t="s">
        <v>720</v>
      </c>
      <c r="B286" s="167" t="str">
        <f>IFERROR(__xludf.DUMMYFUNCTION("GOOGLEFINANCE(A286,""Name"")"),"#N/A")</f>
        <v>#N/A</v>
      </c>
      <c r="C286" s="167" t="s">
        <v>721</v>
      </c>
      <c r="D286" s="167" t="s">
        <v>715</v>
      </c>
      <c r="E286" s="167" t="s">
        <v>719</v>
      </c>
      <c r="F286" s="167" t="s">
        <v>719</v>
      </c>
      <c r="G286" s="167" t="s">
        <v>131</v>
      </c>
    </row>
    <row r="287">
      <c r="A287" s="167" t="s">
        <v>722</v>
      </c>
      <c r="B287" s="167" t="str">
        <f>IFERROR(__xludf.DUMMYFUNCTION("GOOGLEFINANCE(A287,""Name"")"),"Lwsa SA")</f>
        <v>Lwsa SA</v>
      </c>
      <c r="C287" s="167" t="s">
        <v>723</v>
      </c>
      <c r="D287" s="167" t="s">
        <v>715</v>
      </c>
      <c r="E287" s="167" t="s">
        <v>719</v>
      </c>
      <c r="F287" s="167" t="s">
        <v>719</v>
      </c>
      <c r="G287" s="167" t="s">
        <v>131</v>
      </c>
    </row>
    <row r="288">
      <c r="A288" s="167" t="s">
        <v>724</v>
      </c>
      <c r="B288" s="167" t="str">
        <f>IFERROR(__xludf.DUMMYFUNCTION("GOOGLEFINANCE(A288,""Name"")"),"Quality Software SA")</f>
        <v>Quality Software SA</v>
      </c>
      <c r="C288" s="167" t="s">
        <v>725</v>
      </c>
      <c r="D288" s="167" t="s">
        <v>715</v>
      </c>
      <c r="E288" s="167" t="s">
        <v>719</v>
      </c>
      <c r="F288" s="167" t="s">
        <v>719</v>
      </c>
      <c r="G288" s="167" t="s">
        <v>131</v>
      </c>
    </row>
    <row r="289">
      <c r="A289" s="167" t="s">
        <v>726</v>
      </c>
      <c r="B289" s="167" t="str">
        <f>IFERROR(__xludf.DUMMYFUNCTION("GOOGLEFINANCE(A289,""Name"")"),"#N/A")</f>
        <v>#N/A</v>
      </c>
      <c r="C289" s="167" t="s">
        <v>727</v>
      </c>
      <c r="D289" s="167" t="s">
        <v>715</v>
      </c>
      <c r="E289" s="167" t="s">
        <v>719</v>
      </c>
      <c r="F289" s="167" t="s">
        <v>719</v>
      </c>
      <c r="G289" s="167" t="s">
        <v>131</v>
      </c>
    </row>
    <row r="290">
      <c r="A290" s="167" t="s">
        <v>728</v>
      </c>
      <c r="B290" s="167" t="str">
        <f>IFERROR(__xludf.DUMMYFUNCTION("GOOGLEFINANCE(A290,""Name"")"),"Totvs SA")</f>
        <v>Totvs SA</v>
      </c>
      <c r="C290" s="167" t="s">
        <v>729</v>
      </c>
      <c r="D290" s="167" t="s">
        <v>715</v>
      </c>
      <c r="E290" s="167" t="s">
        <v>719</v>
      </c>
      <c r="F290" s="167" t="s">
        <v>719</v>
      </c>
      <c r="G290" s="167" t="s">
        <v>131</v>
      </c>
    </row>
    <row r="291">
      <c r="A291" s="167" t="s">
        <v>730</v>
      </c>
      <c r="B291" s="167" t="str">
        <f>IFERROR(__xludf.DUMMYFUNCTION("GOOGLEFINANCE(A291,""Name"")"),"Oi")</f>
        <v>Oi</v>
      </c>
      <c r="C291" s="167" t="s">
        <v>731</v>
      </c>
      <c r="D291" s="167" t="s">
        <v>732</v>
      </c>
      <c r="E291" s="167" t="s">
        <v>733</v>
      </c>
      <c r="F291" s="167" t="s">
        <v>733</v>
      </c>
      <c r="G291" s="167" t="s">
        <v>131</v>
      </c>
    </row>
    <row r="292">
      <c r="A292" s="167" t="s">
        <v>734</v>
      </c>
      <c r="B292" s="167" t="str">
        <f>IFERROR(__xludf.DUMMYFUNCTION("GOOGLEFINANCE(A292,""Name"")"),"Oi")</f>
        <v>Oi</v>
      </c>
      <c r="C292" s="167" t="s">
        <v>731</v>
      </c>
      <c r="D292" s="167" t="s">
        <v>732</v>
      </c>
      <c r="E292" s="167" t="s">
        <v>733</v>
      </c>
      <c r="F292" s="167" t="s">
        <v>733</v>
      </c>
      <c r="G292" s="167" t="s">
        <v>131</v>
      </c>
    </row>
    <row r="293">
      <c r="A293" s="167" t="s">
        <v>735</v>
      </c>
      <c r="B293" s="167" t="str">
        <f>IFERROR(__xludf.DUMMYFUNCTION("GOOGLEFINANCE(A293,""Name"")"),"Telecomunicacoes Brasileiras SA - TELBRS")</f>
        <v>Telecomunicacoes Brasileiras SA - TELBRS</v>
      </c>
      <c r="C293" s="167" t="s">
        <v>736</v>
      </c>
      <c r="D293" s="167" t="s">
        <v>732</v>
      </c>
      <c r="E293" s="167" t="s">
        <v>733</v>
      </c>
      <c r="F293" s="167" t="s">
        <v>733</v>
      </c>
      <c r="G293" s="167" t="s">
        <v>131</v>
      </c>
    </row>
    <row r="294">
      <c r="A294" s="167" t="s">
        <v>737</v>
      </c>
      <c r="B294" s="167" t="str">
        <f>IFERROR(__xludf.DUMMYFUNCTION("GOOGLEFINANCE(A294,""Name"")"),"Telecomunicacoes Brasileiras SA - TELBRS Preference Shares")</f>
        <v>Telecomunicacoes Brasileiras SA - TELBRS Preference Shares</v>
      </c>
      <c r="C294" s="167" t="s">
        <v>736</v>
      </c>
      <c r="D294" s="167" t="s">
        <v>732</v>
      </c>
      <c r="E294" s="167" t="s">
        <v>733</v>
      </c>
      <c r="F294" s="167" t="s">
        <v>733</v>
      </c>
      <c r="G294" s="167" t="s">
        <v>131</v>
      </c>
    </row>
    <row r="295">
      <c r="A295" s="167" t="s">
        <v>738</v>
      </c>
      <c r="B295" s="167" t="str">
        <f>IFERROR(__xludf.DUMMYFUNCTION("GOOGLEFINANCE(A295,""Name"")"),"Telefonica Brasil Cedear")</f>
        <v>Telefonica Brasil Cedear</v>
      </c>
      <c r="C295" s="167" t="s">
        <v>739</v>
      </c>
      <c r="D295" s="167" t="s">
        <v>732</v>
      </c>
      <c r="E295" s="167" t="s">
        <v>733</v>
      </c>
      <c r="F295" s="167" t="s">
        <v>733</v>
      </c>
      <c r="G295" s="167" t="s">
        <v>131</v>
      </c>
    </row>
    <row r="296">
      <c r="A296" s="167" t="s">
        <v>740</v>
      </c>
      <c r="B296" s="167" t="str">
        <f>IFERROR(__xludf.DUMMYFUNCTION("GOOGLEFINANCE(A296,""Name"")"),"Tim Cedear")</f>
        <v>Tim Cedear</v>
      </c>
      <c r="C296" s="167" t="s">
        <v>741</v>
      </c>
      <c r="D296" s="167" t="s">
        <v>732</v>
      </c>
      <c r="E296" s="167" t="s">
        <v>733</v>
      </c>
      <c r="F296" s="167" t="s">
        <v>733</v>
      </c>
      <c r="G296" s="167" t="s">
        <v>131</v>
      </c>
    </row>
    <row r="297">
      <c r="A297" s="167" t="s">
        <v>742</v>
      </c>
      <c r="B297" s="167" t="str">
        <f>IFERROR(__xludf.DUMMYFUNCTION("GOOGLEFINANCE(A297,""Name"")"),"#N/A")</f>
        <v>#N/A</v>
      </c>
      <c r="C297" s="167" t="s">
        <v>743</v>
      </c>
      <c r="D297" s="167" t="s">
        <v>732</v>
      </c>
      <c r="E297" s="167" t="s">
        <v>744</v>
      </c>
      <c r="F297" s="167" t="s">
        <v>745</v>
      </c>
      <c r="G297" s="167" t="s">
        <v>131</v>
      </c>
    </row>
    <row r="298">
      <c r="A298" s="167" t="s">
        <v>746</v>
      </c>
      <c r="B298" s="167" t="str">
        <f>IFERROR(__xludf.DUMMYFUNCTION("GOOGLEFINANCE(A298,""Name"")"),"#N/A")</f>
        <v>#N/A</v>
      </c>
      <c r="C298" s="167" t="s">
        <v>747</v>
      </c>
      <c r="D298" s="167" t="s">
        <v>748</v>
      </c>
      <c r="E298" s="167" t="s">
        <v>235</v>
      </c>
      <c r="F298" s="167" t="s">
        <v>235</v>
      </c>
      <c r="G298" s="167" t="s">
        <v>131</v>
      </c>
    </row>
    <row r="299">
      <c r="A299" s="167" t="s">
        <v>749</v>
      </c>
      <c r="B299" s="167" t="str">
        <f>IFERROR(__xludf.DUMMYFUNCTION("GOOGLEFINANCE(A299,""Name"")"),"Afluente Transmissao de Energia Eltrc SA")</f>
        <v>Afluente Transmissao de Energia Eltrc SA</v>
      </c>
      <c r="C299" s="167" t="s">
        <v>750</v>
      </c>
      <c r="D299" s="167" t="s">
        <v>748</v>
      </c>
      <c r="E299" s="167" t="s">
        <v>235</v>
      </c>
      <c r="F299" s="167" t="s">
        <v>235</v>
      </c>
      <c r="G299" s="167" t="s">
        <v>131</v>
      </c>
    </row>
    <row r="300">
      <c r="A300" s="167" t="s">
        <v>751</v>
      </c>
      <c r="B300" s="167" t="str">
        <f>IFERROR(__xludf.DUMMYFUNCTION("GOOGLEFINANCE(A300,""Name"")"),"Alupar Investimento SA")</f>
        <v>Alupar Investimento SA</v>
      </c>
      <c r="C300" s="167" t="s">
        <v>752</v>
      </c>
      <c r="D300" s="167" t="s">
        <v>748</v>
      </c>
      <c r="E300" s="167" t="s">
        <v>235</v>
      </c>
      <c r="F300" s="167" t="s">
        <v>235</v>
      </c>
      <c r="G300" s="167" t="s">
        <v>131</v>
      </c>
    </row>
    <row r="301">
      <c r="A301" s="167" t="s">
        <v>753</v>
      </c>
      <c r="B301" s="167" t="str">
        <f>IFERROR(__xludf.DUMMYFUNCTION("GOOGLEFINANCE(A301,""Name"")"),"Alupar Investimento SA Preference Shares")</f>
        <v>Alupar Investimento SA Preference Shares</v>
      </c>
      <c r="C301" s="167" t="s">
        <v>752</v>
      </c>
      <c r="D301" s="167" t="s">
        <v>748</v>
      </c>
      <c r="E301" s="167" t="s">
        <v>235</v>
      </c>
      <c r="F301" s="167" t="s">
        <v>235</v>
      </c>
      <c r="G301" s="167" t="s">
        <v>131</v>
      </c>
    </row>
    <row r="302">
      <c r="A302" s="167" t="s">
        <v>754</v>
      </c>
      <c r="B302" s="167" t="str">
        <f>IFERROR(__xludf.DUMMYFUNCTION("GOOGLEFINANCE(A302,""Name"")"),"Alupar Investimento SA Unit")</f>
        <v>Alupar Investimento SA Unit</v>
      </c>
      <c r="C302" s="167" t="s">
        <v>752</v>
      </c>
      <c r="D302" s="167" t="s">
        <v>748</v>
      </c>
      <c r="E302" s="167" t="s">
        <v>235</v>
      </c>
      <c r="F302" s="167" t="s">
        <v>235</v>
      </c>
      <c r="G302" s="167" t="s">
        <v>131</v>
      </c>
    </row>
    <row r="303">
      <c r="A303" s="167" t="s">
        <v>755</v>
      </c>
      <c r="B303" s="167" t="str">
        <f>IFERROR(__xludf.DUMMYFUNCTION("GOOGLEFINANCE(A303,""Name"")"),"Ampla Energia e Servicos SA")</f>
        <v>Ampla Energia e Servicos SA</v>
      </c>
      <c r="C303" s="167" t="s">
        <v>756</v>
      </c>
      <c r="D303" s="167" t="s">
        <v>748</v>
      </c>
      <c r="E303" s="167" t="s">
        <v>235</v>
      </c>
      <c r="F303" s="167" t="s">
        <v>235</v>
      </c>
      <c r="G303" s="167" t="s">
        <v>131</v>
      </c>
    </row>
    <row r="304">
      <c r="A304" s="167" t="s">
        <v>757</v>
      </c>
      <c r="B304" s="167" t="str">
        <f>IFERROR(__xludf.DUMMYFUNCTION("GOOGLEFINANCE(A304,""Name"")"),"Companhia Energetica de Brasilia CEB")</f>
        <v>Companhia Energetica de Brasilia CEB</v>
      </c>
      <c r="C304" s="167" t="s">
        <v>758</v>
      </c>
      <c r="D304" s="167" t="s">
        <v>748</v>
      </c>
      <c r="E304" s="167" t="s">
        <v>235</v>
      </c>
      <c r="F304" s="167" t="s">
        <v>235</v>
      </c>
      <c r="G304" s="167" t="s">
        <v>131</v>
      </c>
    </row>
    <row r="305">
      <c r="A305" s="167" t="s">
        <v>759</v>
      </c>
      <c r="B305" s="167" t="str">
        <f>IFERROR(__xludf.DUMMYFUNCTION("GOOGLEFINANCE(A305,""Name"")"),"Companhia Energetica de Brasilia CEB Preference Shares Class A")</f>
        <v>Companhia Energetica de Brasilia CEB Preference Shares Class A</v>
      </c>
      <c r="C305" s="167" t="s">
        <v>758</v>
      </c>
      <c r="D305" s="167" t="s">
        <v>748</v>
      </c>
      <c r="E305" s="167" t="s">
        <v>235</v>
      </c>
      <c r="F305" s="167" t="s">
        <v>235</v>
      </c>
      <c r="G305" s="167" t="s">
        <v>131</v>
      </c>
    </row>
    <row r="306">
      <c r="A306" s="167" t="s">
        <v>760</v>
      </c>
      <c r="B306" s="167" t="str">
        <f>IFERROR(__xludf.DUMMYFUNCTION("GOOGLEFINANCE(A306,""Name"")"),"Companhia Energetica de Brasilia CEB Preference Shares Class B")</f>
        <v>Companhia Energetica de Brasilia CEB Preference Shares Class B</v>
      </c>
      <c r="C306" s="167" t="s">
        <v>758</v>
      </c>
      <c r="D306" s="167" t="s">
        <v>748</v>
      </c>
      <c r="E306" s="167" t="s">
        <v>235</v>
      </c>
      <c r="F306" s="167" t="s">
        <v>235</v>
      </c>
      <c r="G306" s="167" t="s">
        <v>131</v>
      </c>
    </row>
    <row r="307">
      <c r="A307" s="167" t="s">
        <v>761</v>
      </c>
      <c r="B307" s="167" t="str">
        <f>IFERROR(__xludf.DUMMYFUNCTION("GOOGLEFINANCE(A307,""Name"")"),"Companhia Estadual de Distribuicao")</f>
        <v>Companhia Estadual de Distribuicao</v>
      </c>
      <c r="C307" s="167" t="s">
        <v>762</v>
      </c>
      <c r="D307" s="167" t="s">
        <v>748</v>
      </c>
      <c r="E307" s="167" t="s">
        <v>235</v>
      </c>
      <c r="F307" s="167" t="s">
        <v>235</v>
      </c>
      <c r="G307" s="167" t="s">
        <v>131</v>
      </c>
    </row>
    <row r="308">
      <c r="A308" s="167" t="s">
        <v>763</v>
      </c>
      <c r="B308" s="167" t="str">
        <f>IFERROR(__xludf.DUMMYFUNCTION("GOOGLEFINANCE(A308,""Name"")"),"Companhia Estadual de Distribuicao Preference Shares")</f>
        <v>Companhia Estadual de Distribuicao Preference Shares</v>
      </c>
      <c r="C308" s="167" t="s">
        <v>762</v>
      </c>
      <c r="D308" s="167" t="s">
        <v>748</v>
      </c>
      <c r="E308" s="167" t="s">
        <v>235</v>
      </c>
      <c r="F308" s="167" t="s">
        <v>235</v>
      </c>
      <c r="G308" s="167" t="s">
        <v>131</v>
      </c>
    </row>
    <row r="309">
      <c r="A309" s="167" t="s">
        <v>764</v>
      </c>
      <c r="B309" s="167" t="str">
        <f>IFERROR(__xludf.DUMMYFUNCTION("GOOGLEFINANCE(A309,""Name"")"),"#N/A")</f>
        <v>#N/A</v>
      </c>
      <c r="C309" s="167" t="s">
        <v>765</v>
      </c>
      <c r="D309" s="167" t="s">
        <v>748</v>
      </c>
      <c r="E309" s="167" t="s">
        <v>235</v>
      </c>
      <c r="F309" s="167" t="s">
        <v>235</v>
      </c>
      <c r="G309" s="167" t="s">
        <v>131</v>
      </c>
    </row>
    <row r="310">
      <c r="A310" s="167" t="s">
        <v>766</v>
      </c>
      <c r="B310" s="167" t="str">
        <f>IFERROR(__xludf.DUMMYFUNCTION("GOOGLEFINANCE(A310,""Name"")"),"#N/A")</f>
        <v>#N/A</v>
      </c>
      <c r="C310" s="167" t="s">
        <v>765</v>
      </c>
      <c r="D310" s="167" t="s">
        <v>748</v>
      </c>
      <c r="E310" s="167" t="s">
        <v>235</v>
      </c>
      <c r="F310" s="167" t="s">
        <v>235</v>
      </c>
      <c r="G310" s="167" t="s">
        <v>131</v>
      </c>
    </row>
    <row r="311">
      <c r="A311" s="167" t="s">
        <v>767</v>
      </c>
      <c r="B311" s="167" t="str">
        <f>IFERROR(__xludf.DUMMYFUNCTION("GOOGLEFINANCE(A311,""Name"")"),"Centrais Eletricas d Snt Ctrn S Clsc")</f>
        <v>Centrais Eletricas d Snt Ctrn S Clsc</v>
      </c>
      <c r="C311" s="167" t="s">
        <v>768</v>
      </c>
      <c r="D311" s="167" t="s">
        <v>748</v>
      </c>
      <c r="E311" s="167" t="s">
        <v>235</v>
      </c>
      <c r="F311" s="167" t="s">
        <v>235</v>
      </c>
      <c r="G311" s="167" t="s">
        <v>131</v>
      </c>
    </row>
    <row r="312">
      <c r="A312" s="167" t="s">
        <v>769</v>
      </c>
      <c r="B312" s="167" t="str">
        <f>IFERROR(__xludf.DUMMYFUNCTION("GOOGLEFINANCE(A312,""Name"")"),"Centrais Eletricas d Snt Ctrn S Clsc Preference Shares")</f>
        <v>Centrais Eletricas d Snt Ctrn S Clsc Preference Shares</v>
      </c>
      <c r="C312" s="167" t="s">
        <v>768</v>
      </c>
      <c r="D312" s="167" t="s">
        <v>748</v>
      </c>
      <c r="E312" s="167" t="s">
        <v>235</v>
      </c>
      <c r="F312" s="167" t="s">
        <v>235</v>
      </c>
      <c r="G312" s="167" t="s">
        <v>131</v>
      </c>
    </row>
    <row r="313">
      <c r="A313" s="167" t="s">
        <v>770</v>
      </c>
      <c r="B313" s="167" t="str">
        <f>IFERROR(__xludf.DUMMYFUNCTION("GOOGLEFINANCE(A313,""Name"")"),"#N/A")</f>
        <v>#N/A</v>
      </c>
      <c r="C313" s="167" t="s">
        <v>771</v>
      </c>
      <c r="D313" s="167" t="s">
        <v>748</v>
      </c>
      <c r="E313" s="167" t="s">
        <v>235</v>
      </c>
      <c r="F313" s="167" t="s">
        <v>235</v>
      </c>
      <c r="G313" s="167" t="s">
        <v>131</v>
      </c>
    </row>
    <row r="314">
      <c r="A314" s="167" t="s">
        <v>772</v>
      </c>
      <c r="B314" s="167" t="str">
        <f>IFERROR(__xludf.DUMMYFUNCTION("GOOGLEFINANCE(A314,""Name"")"),"#N/A")</f>
        <v>#N/A</v>
      </c>
      <c r="C314" s="167" t="s">
        <v>771</v>
      </c>
      <c r="D314" s="167" t="s">
        <v>748</v>
      </c>
      <c r="E314" s="167" t="s">
        <v>235</v>
      </c>
      <c r="F314" s="167" t="s">
        <v>235</v>
      </c>
      <c r="G314" s="167" t="s">
        <v>131</v>
      </c>
    </row>
    <row r="315">
      <c r="A315" s="167" t="s">
        <v>773</v>
      </c>
      <c r="B315" s="167" t="str">
        <f>IFERROR(__xludf.DUMMYFUNCTION("GOOGLEFINANCE(A315,""Name"")"),"#N/A")</f>
        <v>#N/A</v>
      </c>
      <c r="C315" s="167" t="s">
        <v>771</v>
      </c>
      <c r="D315" s="167" t="s">
        <v>748</v>
      </c>
      <c r="E315" s="167" t="s">
        <v>235</v>
      </c>
      <c r="F315" s="167" t="s">
        <v>235</v>
      </c>
      <c r="G315" s="167" t="s">
        <v>131</v>
      </c>
    </row>
    <row r="316">
      <c r="A316" s="167" t="s">
        <v>774</v>
      </c>
      <c r="B316" s="167" t="str">
        <f>IFERROR(__xludf.DUMMYFUNCTION("GOOGLEFINANCE(A316,""Name"")"),"Energy of Minas Gerais Co")</f>
        <v>Energy of Minas Gerais Co</v>
      </c>
      <c r="C316" s="167" t="s">
        <v>775</v>
      </c>
      <c r="D316" s="167" t="s">
        <v>748</v>
      </c>
      <c r="E316" s="167" t="s">
        <v>235</v>
      </c>
      <c r="F316" s="167" t="s">
        <v>235</v>
      </c>
      <c r="G316" s="167" t="s">
        <v>131</v>
      </c>
    </row>
    <row r="317">
      <c r="A317" s="167" t="s">
        <v>776</v>
      </c>
      <c r="B317" s="167" t="str">
        <f>IFERROR(__xludf.DUMMYFUNCTION("GOOGLEFINANCE(A317,""Name"")"),"Energy of Minas Gerais Co Preference Shares")</f>
        <v>Energy of Minas Gerais Co Preference Shares</v>
      </c>
      <c r="C317" s="167" t="s">
        <v>775</v>
      </c>
      <c r="D317" s="167" t="s">
        <v>748</v>
      </c>
      <c r="E317" s="167" t="s">
        <v>235</v>
      </c>
      <c r="F317" s="167" t="s">
        <v>235</v>
      </c>
      <c r="G317" s="167" t="s">
        <v>131</v>
      </c>
    </row>
    <row r="318">
      <c r="A318" s="167" t="s">
        <v>777</v>
      </c>
      <c r="B318" s="167" t="str">
        <f>IFERROR(__xludf.DUMMYFUNCTION("GOOGLEFINANCE(A318,""Name"")"),"#N/A")</f>
        <v>#N/A</v>
      </c>
      <c r="C318" s="167" t="s">
        <v>778</v>
      </c>
      <c r="D318" s="167" t="s">
        <v>748</v>
      </c>
      <c r="E318" s="167" t="s">
        <v>235</v>
      </c>
      <c r="F318" s="167" t="s">
        <v>235</v>
      </c>
      <c r="G318" s="167" t="s">
        <v>131</v>
      </c>
    </row>
    <row r="319">
      <c r="A319" s="167" t="s">
        <v>779</v>
      </c>
      <c r="B319" s="167" t="str">
        <f>IFERROR(__xludf.DUMMYFUNCTION("GOOGLEFINANCE(A319,""Name"")"),"#N/A")</f>
        <v>#N/A</v>
      </c>
      <c r="C319" s="167" t="s">
        <v>778</v>
      </c>
      <c r="D319" s="167" t="s">
        <v>748</v>
      </c>
      <c r="E319" s="167" t="s">
        <v>235</v>
      </c>
      <c r="F319" s="167" t="s">
        <v>235</v>
      </c>
      <c r="G319" s="167" t="s">
        <v>131</v>
      </c>
    </row>
    <row r="320">
      <c r="A320" s="167" t="s">
        <v>780</v>
      </c>
      <c r="B320" s="167" t="str">
        <f>IFERROR(__xludf.DUMMYFUNCTION("GOOGLEFINANCE(A320,""Name"")"),"#N/A")</f>
        <v>#N/A</v>
      </c>
      <c r="C320" s="167" t="s">
        <v>778</v>
      </c>
      <c r="D320" s="167" t="s">
        <v>748</v>
      </c>
      <c r="E320" s="167" t="s">
        <v>235</v>
      </c>
      <c r="F320" s="167" t="s">
        <v>235</v>
      </c>
      <c r="G320" s="167" t="s">
        <v>131</v>
      </c>
    </row>
    <row r="321">
      <c r="A321" s="167" t="s">
        <v>781</v>
      </c>
      <c r="B321" s="167" t="str">
        <f>IFERROR(__xludf.DUMMYFUNCTION("GOOGLEFINANCE(A321,""Name"")"),"Companhia de ltrcdd d std d Bh Clb")</f>
        <v>Companhia de ltrcdd d std d Bh Clb</v>
      </c>
      <c r="C321" s="167" t="s">
        <v>782</v>
      </c>
      <c r="D321" s="167" t="s">
        <v>748</v>
      </c>
      <c r="E321" s="167" t="s">
        <v>235</v>
      </c>
      <c r="F321" s="167" t="s">
        <v>235</v>
      </c>
      <c r="G321" s="167" t="s">
        <v>131</v>
      </c>
    </row>
    <row r="322">
      <c r="A322" s="167" t="s">
        <v>783</v>
      </c>
      <c r="B322" s="167" t="str">
        <f>IFERROR(__xludf.DUMMYFUNCTION("GOOGLEFINANCE(A322,""Name"")"),"Companhia de ltrcdd d std d Bh Clb Preference Shares Class A")</f>
        <v>Companhia de ltrcdd d std d Bh Clb Preference Shares Class A</v>
      </c>
      <c r="C322" s="167" t="s">
        <v>782</v>
      </c>
      <c r="D322" s="167" t="s">
        <v>748</v>
      </c>
      <c r="E322" s="167" t="s">
        <v>235</v>
      </c>
      <c r="F322" s="167" t="s">
        <v>235</v>
      </c>
      <c r="G322" s="167" t="s">
        <v>131</v>
      </c>
    </row>
    <row r="323">
      <c r="A323" s="167" t="s">
        <v>781</v>
      </c>
      <c r="B323" s="167" t="str">
        <f>IFERROR(__xludf.DUMMYFUNCTION("GOOGLEFINANCE(A323,""Name"")"),"Companhia de ltrcdd d std d Bh Clb")</f>
        <v>Companhia de ltrcdd d std d Bh Clb</v>
      </c>
      <c r="C323" s="167" t="s">
        <v>782</v>
      </c>
      <c r="D323" s="167" t="s">
        <v>748</v>
      </c>
      <c r="E323" s="167" t="s">
        <v>235</v>
      </c>
      <c r="F323" s="167" t="s">
        <v>235</v>
      </c>
      <c r="G323" s="167" t="s">
        <v>131</v>
      </c>
    </row>
    <row r="324">
      <c r="A324" s="167" t="s">
        <v>784</v>
      </c>
      <c r="B324" s="167" t="str">
        <f>IFERROR(__xludf.DUMMYFUNCTION("GOOGLEFINANCE(A324,""Name"")"),"Companhia Energetica do Ceara")</f>
        <v>Companhia Energetica do Ceara</v>
      </c>
      <c r="C324" s="167" t="s">
        <v>785</v>
      </c>
      <c r="D324" s="167" t="s">
        <v>748</v>
      </c>
      <c r="E324" s="167" t="s">
        <v>235</v>
      </c>
      <c r="F324" s="167" t="s">
        <v>235</v>
      </c>
      <c r="G324" s="167" t="s">
        <v>131</v>
      </c>
    </row>
    <row r="325">
      <c r="A325" s="167" t="s">
        <v>786</v>
      </c>
      <c r="B325" s="167" t="str">
        <f>IFERROR(__xludf.DUMMYFUNCTION("GOOGLEFINANCE(A325,""Name"")"),"Companhia Energetica do Ceara Preference Shares Class A")</f>
        <v>Companhia Energetica do Ceara Preference Shares Class A</v>
      </c>
      <c r="C325" s="167" t="s">
        <v>785</v>
      </c>
      <c r="D325" s="167" t="s">
        <v>748</v>
      </c>
      <c r="E325" s="167" t="s">
        <v>235</v>
      </c>
      <c r="F325" s="167" t="s">
        <v>235</v>
      </c>
      <c r="G325" s="167" t="s">
        <v>131</v>
      </c>
    </row>
    <row r="326">
      <c r="A326" s="167" t="s">
        <v>787</v>
      </c>
      <c r="B326" s="167" t="str">
        <f>IFERROR(__xludf.DUMMYFUNCTION("GOOGLEFINANCE(A326,""Name"")"),"Companhia Energetica do Ceara Preference Shares Class B")</f>
        <v>Companhia Energetica do Ceara Preference Shares Class B</v>
      </c>
      <c r="C326" s="167" t="s">
        <v>785</v>
      </c>
      <c r="D326" s="167" t="s">
        <v>748</v>
      </c>
      <c r="E326" s="167" t="s">
        <v>235</v>
      </c>
      <c r="F326" s="167" t="s">
        <v>235</v>
      </c>
      <c r="G326" s="167" t="s">
        <v>131</v>
      </c>
    </row>
    <row r="327">
      <c r="A327" s="167" t="s">
        <v>788</v>
      </c>
      <c r="B327" s="167" t="str">
        <f>IFERROR(__xludf.DUMMYFUNCTION("GOOGLEFINANCE(A327,""Name"")"),"Companhia Paranaense de Energia")</f>
        <v>Companhia Paranaense de Energia</v>
      </c>
      <c r="C327" s="167" t="s">
        <v>789</v>
      </c>
      <c r="D327" s="167" t="s">
        <v>748</v>
      </c>
      <c r="E327" s="167" t="s">
        <v>235</v>
      </c>
      <c r="F327" s="167" t="s">
        <v>235</v>
      </c>
      <c r="G327" s="167" t="s">
        <v>131</v>
      </c>
    </row>
    <row r="328">
      <c r="A328" s="167" t="s">
        <v>790</v>
      </c>
      <c r="B328" s="167" t="str">
        <f>IFERROR(__xludf.DUMMYFUNCTION("GOOGLEFINANCE(A328,""Name"")"),"#N/A")</f>
        <v>#N/A</v>
      </c>
      <c r="C328" s="167" t="s">
        <v>789</v>
      </c>
      <c r="D328" s="167" t="s">
        <v>748</v>
      </c>
      <c r="E328" s="167" t="s">
        <v>235</v>
      </c>
      <c r="F328" s="167" t="s">
        <v>235</v>
      </c>
      <c r="G328" s="167" t="s">
        <v>131</v>
      </c>
    </row>
    <row r="329">
      <c r="A329" s="167" t="s">
        <v>791</v>
      </c>
      <c r="B329" s="167" t="str">
        <f>IFERROR(__xludf.DUMMYFUNCTION("GOOGLEFINANCE(A329,""Name"")"),"#N/A")</f>
        <v>#N/A</v>
      </c>
      <c r="C329" s="167" t="s">
        <v>789</v>
      </c>
      <c r="D329" s="167" t="s">
        <v>748</v>
      </c>
      <c r="E329" s="167" t="s">
        <v>235</v>
      </c>
      <c r="F329" s="167" t="s">
        <v>235</v>
      </c>
      <c r="G329" s="167" t="s">
        <v>131</v>
      </c>
    </row>
    <row r="330">
      <c r="A330" s="167" t="s">
        <v>792</v>
      </c>
      <c r="B330" s="167" t="str">
        <f>IFERROR(__xludf.DUMMYFUNCTION("GOOGLEFINANCE(A330,""Name"")"),"#N/A")</f>
        <v>#N/A</v>
      </c>
      <c r="C330" s="167" t="s">
        <v>789</v>
      </c>
      <c r="D330" s="167" t="s">
        <v>748</v>
      </c>
      <c r="E330" s="167" t="s">
        <v>235</v>
      </c>
      <c r="F330" s="167" t="s">
        <v>235</v>
      </c>
      <c r="G330" s="167" t="s">
        <v>131</v>
      </c>
    </row>
    <row r="331">
      <c r="A331" s="167" t="s">
        <v>793</v>
      </c>
      <c r="B331" s="167" t="str">
        <f>IFERROR(__xludf.DUMMYFUNCTION("GOOGLEFINANCE(A331,""Name"")"),"#N/A")</f>
        <v>#N/A</v>
      </c>
      <c r="C331" s="167" t="s">
        <v>794</v>
      </c>
      <c r="D331" s="167" t="s">
        <v>748</v>
      </c>
      <c r="E331" s="167" t="s">
        <v>235</v>
      </c>
      <c r="F331" s="167" t="s">
        <v>235</v>
      </c>
      <c r="G331" s="167" t="s">
        <v>131</v>
      </c>
    </row>
    <row r="332">
      <c r="A332" s="167" t="s">
        <v>795</v>
      </c>
      <c r="B332" s="167" t="str">
        <f>IFERROR(__xludf.DUMMYFUNCTION("GOOGLEFINANCE(A332,""Name"")"),"#N/A")</f>
        <v>#N/A</v>
      </c>
      <c r="C332" s="167" t="s">
        <v>794</v>
      </c>
      <c r="D332" s="167" t="s">
        <v>748</v>
      </c>
      <c r="E332" s="167" t="s">
        <v>235</v>
      </c>
      <c r="F332" s="167" t="s">
        <v>235</v>
      </c>
      <c r="G332" s="167" t="s">
        <v>131</v>
      </c>
    </row>
    <row r="333">
      <c r="A333" s="167" t="s">
        <v>796</v>
      </c>
      <c r="B333" s="167" t="str">
        <f>IFERROR(__xludf.DUMMYFUNCTION("GOOGLEFINANCE(A333,""Name"")"),"#N/A")</f>
        <v>#N/A</v>
      </c>
      <c r="C333" s="167" t="s">
        <v>794</v>
      </c>
      <c r="D333" s="167" t="s">
        <v>748</v>
      </c>
      <c r="E333" s="167" t="s">
        <v>235</v>
      </c>
      <c r="F333" s="167" t="s">
        <v>235</v>
      </c>
      <c r="G333" s="167" t="s">
        <v>131</v>
      </c>
    </row>
    <row r="334">
      <c r="A334" s="167" t="s">
        <v>797</v>
      </c>
      <c r="B334" s="167" t="str">
        <f>IFERROR(__xludf.DUMMYFUNCTION("GOOGLEFINANCE(A334,""Name"")"),"CPFL Energia SA")</f>
        <v>CPFL Energia SA</v>
      </c>
      <c r="C334" s="167" t="s">
        <v>798</v>
      </c>
      <c r="D334" s="167" t="s">
        <v>748</v>
      </c>
      <c r="E334" s="167" t="s">
        <v>235</v>
      </c>
      <c r="F334" s="167" t="s">
        <v>235</v>
      </c>
      <c r="G334" s="167" t="s">
        <v>131</v>
      </c>
    </row>
    <row r="335">
      <c r="A335" s="167" t="s">
        <v>209</v>
      </c>
      <c r="B335" s="167" t="str">
        <f>IFERROR(__xludf.DUMMYFUNCTION("GOOGLEFINANCE(A335,""Name"")"),"Elektro Redes SA")</f>
        <v>Elektro Redes SA</v>
      </c>
      <c r="C335" s="167" t="s">
        <v>210</v>
      </c>
      <c r="D335" s="167" t="s">
        <v>748</v>
      </c>
      <c r="E335" s="167" t="s">
        <v>235</v>
      </c>
      <c r="F335" s="167" t="s">
        <v>235</v>
      </c>
      <c r="G335" s="167" t="s">
        <v>131</v>
      </c>
    </row>
    <row r="336">
      <c r="A336" s="167" t="s">
        <v>211</v>
      </c>
      <c r="B336" s="167" t="str">
        <f>IFERROR(__xludf.DUMMYFUNCTION("GOOGLEFINANCE(A336,""Name"")"),"Elektro Redes SA Preference Shares")</f>
        <v>Elektro Redes SA Preference Shares</v>
      </c>
      <c r="C336" s="167" t="s">
        <v>210</v>
      </c>
      <c r="D336" s="167" t="s">
        <v>748</v>
      </c>
      <c r="E336" s="167" t="s">
        <v>235</v>
      </c>
      <c r="F336" s="167" t="s">
        <v>235</v>
      </c>
      <c r="G336" s="167" t="s">
        <v>131</v>
      </c>
    </row>
    <row r="337">
      <c r="A337" s="167" t="s">
        <v>799</v>
      </c>
      <c r="B337" s="167" t="str">
        <f>IFERROR(__xludf.DUMMYFUNCTION("GOOGLEFINANCE(A337,""Name"")"),"#N/A")</f>
        <v>#N/A</v>
      </c>
      <c r="C337" s="167" t="s">
        <v>800</v>
      </c>
      <c r="D337" s="167" t="s">
        <v>748</v>
      </c>
      <c r="E337" s="167" t="s">
        <v>235</v>
      </c>
      <c r="F337" s="167" t="s">
        <v>235</v>
      </c>
      <c r="G337" s="167" t="s">
        <v>131</v>
      </c>
    </row>
    <row r="338">
      <c r="A338" s="167" t="s">
        <v>801</v>
      </c>
      <c r="B338" s="167" t="str">
        <f>IFERROR(__xludf.DUMMYFUNCTION("GOOGLEFINANCE(A338,""Name"")"),"#N/A")</f>
        <v>#N/A</v>
      </c>
      <c r="C338" s="167" t="s">
        <v>800</v>
      </c>
      <c r="D338" s="167" t="s">
        <v>748</v>
      </c>
      <c r="E338" s="167" t="s">
        <v>235</v>
      </c>
      <c r="F338" s="167" t="s">
        <v>235</v>
      </c>
      <c r="G338" s="167" t="s">
        <v>131</v>
      </c>
    </row>
    <row r="339">
      <c r="A339" s="167" t="s">
        <v>802</v>
      </c>
      <c r="B339" s="167" t="str">
        <f>IFERROR(__xludf.DUMMYFUNCTION("GOOGLEFINANCE(A339,""Name"")"),"#N/A")</f>
        <v>#N/A</v>
      </c>
      <c r="C339" s="167" t="s">
        <v>800</v>
      </c>
      <c r="D339" s="167" t="s">
        <v>748</v>
      </c>
      <c r="E339" s="167" t="s">
        <v>235</v>
      </c>
      <c r="F339" s="167" t="s">
        <v>235</v>
      </c>
      <c r="G339" s="167" t="s">
        <v>131</v>
      </c>
    </row>
    <row r="340">
      <c r="A340" s="167" t="s">
        <v>803</v>
      </c>
      <c r="B340" s="167" t="str">
        <f>IFERROR(__xludf.DUMMYFUNCTION("GOOGLEFINANCE(A340,""Name"")"),"#N/A")</f>
        <v>#N/A</v>
      </c>
      <c r="C340" s="167" t="s">
        <v>804</v>
      </c>
      <c r="D340" s="167" t="s">
        <v>748</v>
      </c>
      <c r="E340" s="167" t="s">
        <v>235</v>
      </c>
      <c r="F340" s="167" t="s">
        <v>235</v>
      </c>
      <c r="G340" s="167" t="s">
        <v>131</v>
      </c>
    </row>
    <row r="341">
      <c r="A341" s="167" t="s">
        <v>805</v>
      </c>
      <c r="B341" s="167" t="str">
        <f>IFERROR(__xludf.DUMMYFUNCTION("GOOGLEFINANCE(A341,""Name"")"),"EMAE Empresa Metropltn de Agus e Enrg SA")</f>
        <v>EMAE Empresa Metropltn de Agus e Enrg SA</v>
      </c>
      <c r="C341" s="167" t="s">
        <v>806</v>
      </c>
      <c r="D341" s="167" t="s">
        <v>748</v>
      </c>
      <c r="E341" s="167" t="s">
        <v>235</v>
      </c>
      <c r="F341" s="167" t="s">
        <v>235</v>
      </c>
      <c r="G341" s="167" t="s">
        <v>131</v>
      </c>
    </row>
    <row r="342">
      <c r="A342" s="167" t="s">
        <v>807</v>
      </c>
      <c r="B342" s="167" t="str">
        <f>IFERROR(__xludf.DUMMYFUNCTION("GOOGLEFINANCE(A342,""Name"")"),"EMAE Empresa Metropltn de Agus e Enrg SA Preference Shares")</f>
        <v>EMAE Empresa Metropltn de Agus e Enrg SA Preference Shares</v>
      </c>
      <c r="C342" s="167" t="s">
        <v>806</v>
      </c>
      <c r="D342" s="167" t="s">
        <v>748</v>
      </c>
      <c r="E342" s="167" t="s">
        <v>235</v>
      </c>
      <c r="F342" s="167" t="s">
        <v>235</v>
      </c>
      <c r="G342" s="167" t="s">
        <v>131</v>
      </c>
    </row>
    <row r="343">
      <c r="A343" s="167" t="s">
        <v>808</v>
      </c>
      <c r="B343" s="167" t="str">
        <f>IFERROR(__xludf.DUMMYFUNCTION("GOOGLEFINANCE(A343,""Name"")"),"#N/A")</f>
        <v>#N/A</v>
      </c>
      <c r="C343" s="167" t="s">
        <v>809</v>
      </c>
      <c r="D343" s="167" t="s">
        <v>748</v>
      </c>
      <c r="E343" s="167" t="s">
        <v>235</v>
      </c>
      <c r="F343" s="167" t="s">
        <v>235</v>
      </c>
      <c r="G343" s="167" t="s">
        <v>131</v>
      </c>
    </row>
    <row r="344">
      <c r="A344" s="167" t="s">
        <v>810</v>
      </c>
      <c r="B344" s="167" t="str">
        <f>IFERROR(__xludf.DUMMYFUNCTION("GOOGLEFINANCE(A344,""Name"")"),"Energisa SA")</f>
        <v>Energisa SA</v>
      </c>
      <c r="C344" s="167" t="s">
        <v>811</v>
      </c>
      <c r="D344" s="167" t="s">
        <v>748</v>
      </c>
      <c r="E344" s="167" t="s">
        <v>235</v>
      </c>
      <c r="F344" s="167" t="s">
        <v>235</v>
      </c>
      <c r="G344" s="167" t="s">
        <v>131</v>
      </c>
    </row>
    <row r="345">
      <c r="A345" s="167" t="s">
        <v>812</v>
      </c>
      <c r="B345" s="167" t="str">
        <f>IFERROR(__xludf.DUMMYFUNCTION("GOOGLEFINANCE(A345,""Name"")"),"Energisa SA Preference Shares")</f>
        <v>Energisa SA Preference Shares</v>
      </c>
      <c r="C345" s="167" t="s">
        <v>811</v>
      </c>
      <c r="D345" s="167" t="s">
        <v>748</v>
      </c>
      <c r="E345" s="167" t="s">
        <v>235</v>
      </c>
      <c r="F345" s="167" t="s">
        <v>235</v>
      </c>
      <c r="G345" s="167" t="s">
        <v>131</v>
      </c>
    </row>
    <row r="346">
      <c r="A346" s="167" t="s">
        <v>813</v>
      </c>
      <c r="B346" s="167" t="str">
        <f>IFERROR(__xludf.DUMMYFUNCTION("GOOGLEFINANCE(A346,""Name"")"),"Energisa SA Unit")</f>
        <v>Energisa SA Unit</v>
      </c>
      <c r="C346" s="167" t="s">
        <v>811</v>
      </c>
      <c r="D346" s="167" t="s">
        <v>748</v>
      </c>
      <c r="E346" s="167" t="s">
        <v>235</v>
      </c>
      <c r="F346" s="167" t="s">
        <v>235</v>
      </c>
      <c r="G346" s="167" t="s">
        <v>131</v>
      </c>
    </row>
    <row r="347">
      <c r="A347" s="167" t="s">
        <v>814</v>
      </c>
      <c r="B347" s="167" t="str">
        <f>IFERROR(__xludf.DUMMYFUNCTION("GOOGLEFINANCE(A347,""Name"")"),"Energisa Mato Grosso Distrbdr de Enrg SA")</f>
        <v>Energisa Mato Grosso Distrbdr de Enrg SA</v>
      </c>
      <c r="C347" s="167" t="s">
        <v>815</v>
      </c>
      <c r="D347" s="167" t="s">
        <v>748</v>
      </c>
      <c r="E347" s="167" t="s">
        <v>235</v>
      </c>
      <c r="F347" s="167" t="s">
        <v>235</v>
      </c>
      <c r="G347" s="167" t="s">
        <v>131</v>
      </c>
    </row>
    <row r="348">
      <c r="A348" s="167" t="s">
        <v>816</v>
      </c>
      <c r="B348" s="167" t="str">
        <f>IFERROR(__xludf.DUMMYFUNCTION("GOOGLEFINANCE(A348,""Name"")"),"Energisa Mato Grosso Distrbdr de Enrg SA Preference Shares")</f>
        <v>Energisa Mato Grosso Distrbdr de Enrg SA Preference Shares</v>
      </c>
      <c r="C348" s="167" t="s">
        <v>815</v>
      </c>
      <c r="D348" s="167" t="s">
        <v>748</v>
      </c>
      <c r="E348" s="167" t="s">
        <v>235</v>
      </c>
      <c r="F348" s="167" t="s">
        <v>235</v>
      </c>
      <c r="G348" s="167" t="s">
        <v>131</v>
      </c>
    </row>
    <row r="349">
      <c r="A349" s="167" t="s">
        <v>817</v>
      </c>
      <c r="B349" s="167" t="str">
        <f>IFERROR(__xludf.DUMMYFUNCTION("GOOGLEFINANCE(A349,""Name"")"),"Eneva SA")</f>
        <v>Eneva SA</v>
      </c>
      <c r="C349" s="167" t="s">
        <v>818</v>
      </c>
      <c r="D349" s="167" t="s">
        <v>748</v>
      </c>
      <c r="E349" s="167" t="s">
        <v>235</v>
      </c>
      <c r="F349" s="167" t="s">
        <v>235</v>
      </c>
      <c r="G349" s="167" t="s">
        <v>131</v>
      </c>
    </row>
    <row r="350">
      <c r="A350" s="167" t="s">
        <v>80</v>
      </c>
      <c r="B350" s="167" t="str">
        <f>IFERROR(__xludf.DUMMYFUNCTION("GOOGLEFINANCE(A350,""Name"")"),"Engie Brasil Energia SA")</f>
        <v>Engie Brasil Energia SA</v>
      </c>
      <c r="C350" s="167" t="s">
        <v>819</v>
      </c>
      <c r="D350" s="167" t="s">
        <v>748</v>
      </c>
      <c r="E350" s="167" t="s">
        <v>235</v>
      </c>
      <c r="F350" s="167" t="s">
        <v>235</v>
      </c>
      <c r="G350" s="167" t="s">
        <v>131</v>
      </c>
    </row>
    <row r="351">
      <c r="A351" s="167" t="s">
        <v>820</v>
      </c>
      <c r="B351" s="167" t="str">
        <f>IFERROR(__xludf.DUMMYFUNCTION("GOOGLEFINANCE(A351,""Name"")"),"Equatorial Para Dist De Energia Ord Shs")</f>
        <v>Equatorial Para Dist De Energia Ord Shs</v>
      </c>
      <c r="C351" s="167" t="s">
        <v>821</v>
      </c>
      <c r="D351" s="167" t="s">
        <v>748</v>
      </c>
      <c r="E351" s="167" t="s">
        <v>235</v>
      </c>
      <c r="F351" s="167" t="s">
        <v>235</v>
      </c>
      <c r="G351" s="167" t="s">
        <v>131</v>
      </c>
    </row>
    <row r="352">
      <c r="A352" s="167" t="s">
        <v>822</v>
      </c>
      <c r="B352" s="167" t="str">
        <f>IFERROR(__xludf.DUMMYFUNCTION("GOOGLEFINANCE(A352,""Name"")"),"Equatorial Para Distribuidra de Enrga SA")</f>
        <v>Equatorial Para Distribuidra de Enrga SA</v>
      </c>
      <c r="C352" s="167" t="s">
        <v>821</v>
      </c>
      <c r="D352" s="167" t="s">
        <v>748</v>
      </c>
      <c r="E352" s="167" t="s">
        <v>235</v>
      </c>
      <c r="F352" s="167" t="s">
        <v>235</v>
      </c>
      <c r="G352" s="167" t="s">
        <v>131</v>
      </c>
    </row>
    <row r="353">
      <c r="A353" s="167" t="s">
        <v>823</v>
      </c>
      <c r="B353" s="167" t="str">
        <f>IFERROR(__xludf.DUMMYFUNCTION("GOOGLEFINANCE(A353,""Name"")"),"Equatorial Para Dist Energia Prf Shs Class B")</f>
        <v>Equatorial Para Dist Energia Prf Shs Class B</v>
      </c>
      <c r="C353" s="167" t="s">
        <v>821</v>
      </c>
      <c r="D353" s="167" t="s">
        <v>748</v>
      </c>
      <c r="E353" s="167" t="s">
        <v>235</v>
      </c>
      <c r="F353" s="167" t="s">
        <v>235</v>
      </c>
      <c r="G353" s="167" t="s">
        <v>131</v>
      </c>
    </row>
    <row r="354">
      <c r="A354" s="167" t="s">
        <v>824</v>
      </c>
      <c r="B354" s="167" t="str">
        <f>IFERROR(__xludf.DUMMYFUNCTION("GOOGLEFINANCE(A354,""Name"")"),"Equatorial Para Dist Energia Prf Shs Class C")</f>
        <v>Equatorial Para Dist Energia Prf Shs Class C</v>
      </c>
      <c r="C354" s="167" t="s">
        <v>821</v>
      </c>
      <c r="D354" s="167" t="s">
        <v>748</v>
      </c>
      <c r="E354" s="167" t="s">
        <v>235</v>
      </c>
      <c r="F354" s="167" t="s">
        <v>235</v>
      </c>
      <c r="G354" s="167" t="s">
        <v>131</v>
      </c>
    </row>
    <row r="355">
      <c r="A355" s="167" t="s">
        <v>825</v>
      </c>
      <c r="B355" s="167" t="str">
        <f>IFERROR(__xludf.DUMMYFUNCTION("GOOGLEFINANCE(A355,""Name"")"),"Equatorial Maranhao Distrbdr de Enrga SA")</f>
        <v>Equatorial Maranhao Distrbdr de Enrga SA</v>
      </c>
      <c r="C355" s="167" t="s">
        <v>826</v>
      </c>
      <c r="D355" s="167" t="s">
        <v>748</v>
      </c>
      <c r="E355" s="167" t="s">
        <v>235</v>
      </c>
      <c r="F355" s="167" t="s">
        <v>235</v>
      </c>
      <c r="G355" s="167" t="s">
        <v>131</v>
      </c>
    </row>
    <row r="356">
      <c r="A356" s="167" t="s">
        <v>827</v>
      </c>
      <c r="B356" s="167" t="str">
        <f>IFERROR(__xludf.DUMMYFUNCTION("GOOGLEFINANCE(A356,""Name"")"),"Cia Energetica Do Maranhao")</f>
        <v>Cia Energetica Do Maranhao</v>
      </c>
      <c r="C356" s="167" t="s">
        <v>826</v>
      </c>
      <c r="D356" s="167" t="s">
        <v>748</v>
      </c>
      <c r="E356" s="167" t="s">
        <v>235</v>
      </c>
      <c r="F356" s="167" t="s">
        <v>235</v>
      </c>
      <c r="G356" s="167" t="s">
        <v>131</v>
      </c>
    </row>
    <row r="357">
      <c r="A357" s="167" t="s">
        <v>828</v>
      </c>
      <c r="B357" s="167" t="str">
        <f>IFERROR(__xludf.DUMMYFUNCTION("GOOGLEFINANCE(A357,""Name"")"),"Cia Energetica Do Maranhao")</f>
        <v>Cia Energetica Do Maranhao</v>
      </c>
      <c r="C357" s="167" t="s">
        <v>826</v>
      </c>
      <c r="D357" s="167" t="s">
        <v>748</v>
      </c>
      <c r="E357" s="167" t="s">
        <v>235</v>
      </c>
      <c r="F357" s="167" t="s">
        <v>235</v>
      </c>
      <c r="G357" s="167" t="s">
        <v>131</v>
      </c>
    </row>
    <row r="358">
      <c r="A358" s="167" t="s">
        <v>829</v>
      </c>
      <c r="B358" s="167" t="str">
        <f>IFERROR(__xludf.DUMMYFUNCTION("GOOGLEFINANCE(A358,""Name"")"),"Equatorial SA")</f>
        <v>Equatorial SA</v>
      </c>
      <c r="C358" s="167" t="s">
        <v>830</v>
      </c>
      <c r="D358" s="167" t="s">
        <v>748</v>
      </c>
      <c r="E358" s="167" t="s">
        <v>235</v>
      </c>
      <c r="F358" s="167" t="s">
        <v>235</v>
      </c>
      <c r="G358" s="167" t="s">
        <v>131</v>
      </c>
    </row>
    <row r="359">
      <c r="A359" s="167" t="s">
        <v>831</v>
      </c>
      <c r="B359" s="167" t="str">
        <f>IFERROR(__xludf.DUMMYFUNCTION("GOOGLEFINANCE(A359,""Name"")"),"Rio Paranapanema Energia SA")</f>
        <v>Rio Paranapanema Energia SA</v>
      </c>
      <c r="C359" s="167" t="s">
        <v>832</v>
      </c>
      <c r="D359" s="167" t="s">
        <v>748</v>
      </c>
      <c r="E359" s="167" t="s">
        <v>235</v>
      </c>
      <c r="F359" s="167" t="s">
        <v>235</v>
      </c>
      <c r="G359" s="167" t="s">
        <v>131</v>
      </c>
    </row>
    <row r="360">
      <c r="A360" s="167" t="s">
        <v>833</v>
      </c>
      <c r="B360" s="167" t="str">
        <f>IFERROR(__xludf.DUMMYFUNCTION("GOOGLEFINANCE(A360,""Name"")"),"Rio Paranapanema Energia SA Preference Shares")</f>
        <v>Rio Paranapanema Energia SA Preference Shares</v>
      </c>
      <c r="C360" s="167" t="s">
        <v>832</v>
      </c>
      <c r="D360" s="167" t="s">
        <v>748</v>
      </c>
      <c r="E360" s="167" t="s">
        <v>235</v>
      </c>
      <c r="F360" s="167" t="s">
        <v>235</v>
      </c>
      <c r="G360" s="167" t="s">
        <v>131</v>
      </c>
    </row>
    <row r="361">
      <c r="A361" s="167" t="s">
        <v>834</v>
      </c>
      <c r="B361" s="167" t="str">
        <f>IFERROR(__xludf.DUMMYFUNCTION("GOOGLEFINANCE(A361,""Name"")"),"Light S.A. - Em Recuperacao Judicial")</f>
        <v>Light S.A. - Em Recuperacao Judicial</v>
      </c>
      <c r="C361" s="167" t="s">
        <v>835</v>
      </c>
      <c r="D361" s="167" t="s">
        <v>748</v>
      </c>
      <c r="E361" s="167" t="s">
        <v>235</v>
      </c>
      <c r="F361" s="167" t="s">
        <v>235</v>
      </c>
      <c r="G361" s="167" t="s">
        <v>131</v>
      </c>
    </row>
    <row r="362">
      <c r="A362" s="167" t="s">
        <v>836</v>
      </c>
      <c r="B362" s="167" t="str">
        <f>IFERROR(__xludf.DUMMYFUNCTION("GOOGLEFINANCE(A362,""Name"")"),"#N/A")</f>
        <v>#N/A</v>
      </c>
      <c r="C362" s="167" t="s">
        <v>837</v>
      </c>
      <c r="D362" s="167" t="s">
        <v>748</v>
      </c>
      <c r="E362" s="167" t="s">
        <v>235</v>
      </c>
      <c r="F362" s="167" t="s">
        <v>235</v>
      </c>
      <c r="G362" s="167" t="s">
        <v>131</v>
      </c>
    </row>
    <row r="363">
      <c r="A363" s="167" t="s">
        <v>838</v>
      </c>
      <c r="B363" s="167" t="str">
        <f>IFERROR(__xludf.DUMMYFUNCTION("GOOGLEFINANCE(A363,""Name"")"),"#N/A")</f>
        <v>#N/A</v>
      </c>
      <c r="C363" s="167" t="s">
        <v>839</v>
      </c>
      <c r="D363" s="167" t="s">
        <v>748</v>
      </c>
      <c r="E363" s="167" t="s">
        <v>235</v>
      </c>
      <c r="F363" s="167" t="s">
        <v>235</v>
      </c>
      <c r="G363" s="167" t="s">
        <v>131</v>
      </c>
    </row>
    <row r="364">
      <c r="A364" s="167" t="s">
        <v>840</v>
      </c>
      <c r="B364" s="167" t="str">
        <f>IFERROR(__xludf.DUMMYFUNCTION("GOOGLEFINANCE(A364,""Name"")"),"PROMAN ON MB")</f>
        <v>PROMAN ON MB</v>
      </c>
      <c r="C364" s="167" t="s">
        <v>841</v>
      </c>
      <c r="D364" s="167" t="s">
        <v>748</v>
      </c>
      <c r="E364" s="167" t="s">
        <v>235</v>
      </c>
      <c r="F364" s="167" t="s">
        <v>235</v>
      </c>
      <c r="G364" s="167" t="s">
        <v>131</v>
      </c>
    </row>
    <row r="365">
      <c r="A365" s="167" t="s">
        <v>842</v>
      </c>
      <c r="B365" s="167" t="str">
        <f>IFERROR(__xludf.DUMMYFUNCTION("GOOGLEFINANCE(A365,""Name"")"),"Rede Energia Participacoes SA")</f>
        <v>Rede Energia Participacoes SA</v>
      </c>
      <c r="C365" s="167" t="s">
        <v>843</v>
      </c>
      <c r="D365" s="167" t="s">
        <v>748</v>
      </c>
      <c r="E365" s="167" t="s">
        <v>235</v>
      </c>
      <c r="F365" s="167" t="s">
        <v>235</v>
      </c>
      <c r="G365" s="167" t="s">
        <v>131</v>
      </c>
    </row>
    <row r="366">
      <c r="A366" s="167" t="s">
        <v>844</v>
      </c>
      <c r="B366" s="167" t="str">
        <f>IFERROR(__xludf.DUMMYFUNCTION("GOOGLEFINANCE(A366,""Name"")"),"Renova Energia SA Em Recuperaco Judicial")</f>
        <v>Renova Energia SA Em Recuperaco Judicial</v>
      </c>
      <c r="C366" s="167" t="s">
        <v>845</v>
      </c>
      <c r="D366" s="167" t="s">
        <v>748</v>
      </c>
      <c r="E366" s="167" t="s">
        <v>235</v>
      </c>
      <c r="F366" s="167" t="s">
        <v>235</v>
      </c>
      <c r="G366" s="167" t="s">
        <v>131</v>
      </c>
    </row>
    <row r="367">
      <c r="A367" s="167" t="s">
        <v>846</v>
      </c>
      <c r="B367" s="167" t="str">
        <f>IFERROR(__xludf.DUMMYFUNCTION("GOOGLEFINANCE(A367,""Name"")"),"Renova Energia SA Em Recuperaco Judicial Preference Shares")</f>
        <v>Renova Energia SA Em Recuperaco Judicial Preference Shares</v>
      </c>
      <c r="C367" s="167" t="s">
        <v>845</v>
      </c>
      <c r="D367" s="167" t="s">
        <v>748</v>
      </c>
      <c r="E367" s="167" t="s">
        <v>235</v>
      </c>
      <c r="F367" s="167" t="s">
        <v>235</v>
      </c>
      <c r="G367" s="167" t="s">
        <v>131</v>
      </c>
    </row>
    <row r="368">
      <c r="A368" s="167" t="s">
        <v>847</v>
      </c>
      <c r="B368" s="167" t="str">
        <f>IFERROR(__xludf.DUMMYFUNCTION("GOOGLEFINANCE(A368,""Name"")"),"#N/A")</f>
        <v>#N/A</v>
      </c>
      <c r="C368" s="167" t="s">
        <v>845</v>
      </c>
      <c r="D368" s="167" t="s">
        <v>748</v>
      </c>
      <c r="E368" s="167" t="s">
        <v>235</v>
      </c>
      <c r="F368" s="167" t="s">
        <v>235</v>
      </c>
      <c r="G368" s="167" t="s">
        <v>131</v>
      </c>
    </row>
    <row r="369">
      <c r="A369" s="167" t="s">
        <v>87</v>
      </c>
      <c r="B369" s="167" t="str">
        <f>IFERROR(__xludf.DUMMYFUNCTION("GOOGLEFINANCE(A369,""Name"")"),"Transmissora Alianca de Enrga Eltrca S/A")</f>
        <v>Transmissora Alianca de Enrga Eltrca S/A</v>
      </c>
      <c r="C369" s="167" t="s">
        <v>848</v>
      </c>
      <c r="D369" s="167" t="s">
        <v>748</v>
      </c>
      <c r="E369" s="167" t="s">
        <v>235</v>
      </c>
      <c r="F369" s="167" t="s">
        <v>235</v>
      </c>
      <c r="G369" s="167" t="s">
        <v>131</v>
      </c>
    </row>
    <row r="370">
      <c r="A370" s="167" t="s">
        <v>849</v>
      </c>
      <c r="B370" s="167" t="str">
        <f>IFERROR(__xludf.DUMMYFUNCTION("GOOGLEFINANCE(A370,""Name"")"),"Transmissora Alianca de Enrga Eltrca S/A Preference Shares")</f>
        <v>Transmissora Alianca de Enrga Eltrca S/A Preference Shares</v>
      </c>
      <c r="C370" s="167" t="s">
        <v>848</v>
      </c>
      <c r="D370" s="167" t="s">
        <v>748</v>
      </c>
      <c r="E370" s="167" t="s">
        <v>235</v>
      </c>
      <c r="F370" s="167" t="s">
        <v>235</v>
      </c>
      <c r="G370" s="167" t="s">
        <v>131</v>
      </c>
    </row>
    <row r="371">
      <c r="A371" s="167" t="s">
        <v>850</v>
      </c>
      <c r="B371" s="167" t="str">
        <f>IFERROR(__xludf.DUMMYFUNCTION("GOOGLEFINANCE(A371,""Name"")"),"Transmissora Alianca de Enrga Eltrca S/A Unit")</f>
        <v>Transmissora Alianca de Enrga Eltrca S/A Unit</v>
      </c>
      <c r="C371" s="167" t="s">
        <v>848</v>
      </c>
      <c r="D371" s="167" t="s">
        <v>748</v>
      </c>
      <c r="E371" s="167" t="s">
        <v>235</v>
      </c>
      <c r="F371" s="167" t="s">
        <v>235</v>
      </c>
      <c r="G371" s="167" t="s">
        <v>131</v>
      </c>
    </row>
    <row r="372">
      <c r="A372" s="167" t="s">
        <v>851</v>
      </c>
      <c r="B372" s="167" t="str">
        <f>IFERROR(__xludf.DUMMYFUNCTION("GOOGLEFINANCE(A372,""Name"")"),"#N/A")</f>
        <v>#N/A</v>
      </c>
      <c r="C372" s="167" t="s">
        <v>852</v>
      </c>
      <c r="D372" s="167" t="s">
        <v>748</v>
      </c>
      <c r="E372" s="167" t="s">
        <v>235</v>
      </c>
      <c r="F372" s="167" t="s">
        <v>235</v>
      </c>
      <c r="G372" s="167" t="s">
        <v>131</v>
      </c>
    </row>
    <row r="373">
      <c r="A373" s="167" t="s">
        <v>853</v>
      </c>
      <c r="B373" s="167" t="str">
        <f>IFERROR(__xludf.DUMMYFUNCTION("GOOGLEFINANCE(A373,""Name"")"),"#N/A")</f>
        <v>#N/A</v>
      </c>
      <c r="C373" s="167" t="s">
        <v>852</v>
      </c>
      <c r="D373" s="167" t="s">
        <v>748</v>
      </c>
      <c r="E373" s="167" t="s">
        <v>235</v>
      </c>
      <c r="F373" s="167" t="s">
        <v>235</v>
      </c>
      <c r="G373" s="167" t="s">
        <v>131</v>
      </c>
    </row>
    <row r="374">
      <c r="A374" s="167" t="s">
        <v>854</v>
      </c>
      <c r="B374" s="167" t="str">
        <f>IFERROR(__xludf.DUMMYFUNCTION("GOOGLEFINANCE(A374,""Name"")"),"#N/A")</f>
        <v>#N/A</v>
      </c>
      <c r="C374" s="167" t="s">
        <v>855</v>
      </c>
      <c r="D374" s="167" t="s">
        <v>748</v>
      </c>
      <c r="E374" s="167" t="s">
        <v>235</v>
      </c>
      <c r="F374" s="167" t="s">
        <v>235</v>
      </c>
      <c r="G374" s="167" t="s">
        <v>131</v>
      </c>
    </row>
    <row r="375">
      <c r="A375" s="167" t="s">
        <v>856</v>
      </c>
      <c r="B375" s="167" t="str">
        <f>IFERROR(__xludf.DUMMYFUNCTION("GOOGLEFINANCE(A375,""Name"")"),"Companhia de Saneamento d Mns Grs CPS MG")</f>
        <v>Companhia de Saneamento d Mns Grs CPS MG</v>
      </c>
      <c r="C375" s="167" t="s">
        <v>857</v>
      </c>
      <c r="D375" s="167" t="s">
        <v>748</v>
      </c>
      <c r="E375" s="167" t="s">
        <v>858</v>
      </c>
      <c r="F375" s="167" t="s">
        <v>858</v>
      </c>
      <c r="G375" s="167" t="s">
        <v>131</v>
      </c>
    </row>
    <row r="376">
      <c r="A376" s="167" t="s">
        <v>859</v>
      </c>
      <c r="B376" s="167" t="str">
        <f>IFERROR(__xludf.DUMMYFUNCTION("GOOGLEFINANCE(A376,""Name"")"),"Igua Saneamento SA")</f>
        <v>Igua Saneamento SA</v>
      </c>
      <c r="C376" s="167" t="s">
        <v>860</v>
      </c>
      <c r="D376" s="167" t="s">
        <v>748</v>
      </c>
      <c r="E376" s="167" t="s">
        <v>858</v>
      </c>
      <c r="F376" s="167" t="s">
        <v>858</v>
      </c>
      <c r="G376" s="167" t="s">
        <v>131</v>
      </c>
    </row>
    <row r="377">
      <c r="A377" s="167" t="s">
        <v>861</v>
      </c>
      <c r="B377" s="167" t="str">
        <f>IFERROR(__xludf.DUMMYFUNCTION("GOOGLEFINANCE(A377,""Name"")"),"Cia Saneamento Basico Est Sao Paulo Cedear")</f>
        <v>Cia Saneamento Basico Est Sao Paulo Cedear</v>
      </c>
      <c r="C377" s="167" t="s">
        <v>862</v>
      </c>
      <c r="D377" s="167" t="s">
        <v>748</v>
      </c>
      <c r="E377" s="167" t="s">
        <v>858</v>
      </c>
      <c r="F377" s="167" t="s">
        <v>858</v>
      </c>
      <c r="G377" s="167" t="s">
        <v>131</v>
      </c>
    </row>
    <row r="378">
      <c r="A378" s="167" t="s">
        <v>863</v>
      </c>
      <c r="B378" s="167" t="str">
        <f>IFERROR(__xludf.DUMMYFUNCTION("GOOGLEFINANCE(A378,""Name"")"),"Companhia de Saneamento Parana SANEPAR")</f>
        <v>Companhia de Saneamento Parana SANEPAR</v>
      </c>
      <c r="C378" s="167" t="s">
        <v>864</v>
      </c>
      <c r="D378" s="167" t="s">
        <v>748</v>
      </c>
      <c r="E378" s="167" t="s">
        <v>858</v>
      </c>
      <c r="F378" s="167" t="s">
        <v>858</v>
      </c>
      <c r="G378" s="167" t="s">
        <v>131</v>
      </c>
    </row>
    <row r="379">
      <c r="A379" s="167" t="s">
        <v>865</v>
      </c>
      <c r="B379" s="167" t="str">
        <f>IFERROR(__xludf.DUMMYFUNCTION("GOOGLEFINANCE(A379,""Name"")"),"Companhia de Saneamento Parana SANEPAR Preference Shares")</f>
        <v>Companhia de Saneamento Parana SANEPAR Preference Shares</v>
      </c>
      <c r="C379" s="167" t="s">
        <v>864</v>
      </c>
      <c r="D379" s="167" t="s">
        <v>748</v>
      </c>
      <c r="E379" s="167" t="s">
        <v>858</v>
      </c>
      <c r="F379" s="167" t="s">
        <v>858</v>
      </c>
      <c r="G379" s="167" t="s">
        <v>131</v>
      </c>
    </row>
    <row r="380">
      <c r="A380" s="167" t="s">
        <v>866</v>
      </c>
      <c r="B380" s="167" t="str">
        <f>IFERROR(__xludf.DUMMYFUNCTION("GOOGLEFINANCE(A380,""Name"")"),"Companhia de Saneamento Parana SANEPAR Unit")</f>
        <v>Companhia de Saneamento Parana SANEPAR Unit</v>
      </c>
      <c r="C380" s="167" t="s">
        <v>864</v>
      </c>
      <c r="D380" s="167" t="s">
        <v>748</v>
      </c>
      <c r="E380" s="167" t="s">
        <v>858</v>
      </c>
      <c r="F380" s="167" t="s">
        <v>858</v>
      </c>
      <c r="G380" s="167" t="s">
        <v>131</v>
      </c>
    </row>
    <row r="381">
      <c r="A381" s="167" t="s">
        <v>867</v>
      </c>
      <c r="B381" s="167" t="str">
        <f>IFERROR(__xludf.DUMMYFUNCTION("GOOGLEFINANCE(A381,""Name"")"),"Companhia Distribuidora d Gs d RdJnr CEG")</f>
        <v>Companhia Distribuidora d Gs d RdJnr CEG</v>
      </c>
      <c r="C381" s="167" t="s">
        <v>868</v>
      </c>
      <c r="D381" s="167" t="s">
        <v>748</v>
      </c>
      <c r="E381" s="167" t="s">
        <v>869</v>
      </c>
      <c r="F381" s="167" t="s">
        <v>869</v>
      </c>
      <c r="G381" s="167" t="s">
        <v>131</v>
      </c>
    </row>
    <row r="382">
      <c r="A382" s="167" t="s">
        <v>870</v>
      </c>
      <c r="B382" s="167" t="str">
        <f>IFERROR(__xludf.DUMMYFUNCTION("GOOGLEFINANCE(A382,""Name"")"),"Companhia de Gas de Sao Paulo COMGAS")</f>
        <v>Companhia de Gas de Sao Paulo COMGAS</v>
      </c>
      <c r="C382" s="167" t="s">
        <v>871</v>
      </c>
      <c r="D382" s="167" t="s">
        <v>748</v>
      </c>
      <c r="E382" s="167" t="s">
        <v>869</v>
      </c>
      <c r="F382" s="167" t="s">
        <v>869</v>
      </c>
      <c r="G382" s="167" t="s">
        <v>131</v>
      </c>
    </row>
    <row r="383">
      <c r="A383" s="167" t="s">
        <v>872</v>
      </c>
      <c r="B383" s="167" t="str">
        <f>IFERROR(__xludf.DUMMYFUNCTION("GOOGLEFINANCE(A383,""Name"")"),"Companhia de Gas de Sao Paulo COMGAS Preference Shares Class A")</f>
        <v>Companhia de Gas de Sao Paulo COMGAS Preference Shares Class A</v>
      </c>
      <c r="C383" s="167" t="s">
        <v>871</v>
      </c>
      <c r="D383" s="167" t="s">
        <v>748</v>
      </c>
      <c r="E383" s="167" t="s">
        <v>869</v>
      </c>
      <c r="F383" s="167" t="s">
        <v>869</v>
      </c>
      <c r="G383" s="167" t="s">
        <v>131</v>
      </c>
    </row>
    <row r="384">
      <c r="A384" s="167" t="s">
        <v>873</v>
      </c>
      <c r="B384" s="167" t="str">
        <f>IFERROR(__xludf.DUMMYFUNCTION("GOOGLEFINANCE(A384,""Name"")"),"Banco ABC Brasil SA")</f>
        <v>Banco ABC Brasil SA</v>
      </c>
      <c r="C384" s="167" t="s">
        <v>874</v>
      </c>
      <c r="D384" s="167" t="s">
        <v>875</v>
      </c>
      <c r="E384" s="167" t="s">
        <v>876</v>
      </c>
      <c r="F384" s="167" t="s">
        <v>214</v>
      </c>
      <c r="G384" s="167" t="s">
        <v>131</v>
      </c>
    </row>
    <row r="385">
      <c r="A385" s="167" t="s">
        <v>877</v>
      </c>
      <c r="B385" s="167" t="str">
        <f>IFERROR(__xludf.DUMMYFUNCTION("GOOGLEFINANCE(A385,""Name"")"),"Alfa Holdings SA")</f>
        <v>Alfa Holdings SA</v>
      </c>
      <c r="C385" s="167" t="s">
        <v>878</v>
      </c>
      <c r="D385" s="167" t="s">
        <v>875</v>
      </c>
      <c r="E385" s="167" t="s">
        <v>876</v>
      </c>
      <c r="F385" s="167" t="s">
        <v>214</v>
      </c>
      <c r="G385" s="167" t="s">
        <v>131</v>
      </c>
    </row>
    <row r="386">
      <c r="A386" s="167" t="s">
        <v>879</v>
      </c>
      <c r="B386" s="167" t="str">
        <f>IFERROR(__xludf.DUMMYFUNCTION("GOOGLEFINANCE(A386,""Name"")"),"Alfa Holdings SA Preference Shares Class A")</f>
        <v>Alfa Holdings SA Preference Shares Class A</v>
      </c>
      <c r="C386" s="167" t="s">
        <v>878</v>
      </c>
      <c r="D386" s="167" t="s">
        <v>875</v>
      </c>
      <c r="E386" s="167" t="s">
        <v>876</v>
      </c>
      <c r="F386" s="167" t="s">
        <v>214</v>
      </c>
      <c r="G386" s="167" t="s">
        <v>131</v>
      </c>
    </row>
    <row r="387">
      <c r="A387" s="167" t="s">
        <v>880</v>
      </c>
      <c r="B387" s="167" t="str">
        <f>IFERROR(__xludf.DUMMYFUNCTION("GOOGLEFINANCE(A387,""Name"")"),"Alfa Holdings SA Preference Shares Class B")</f>
        <v>Alfa Holdings SA Preference Shares Class B</v>
      </c>
      <c r="C387" s="167" t="s">
        <v>878</v>
      </c>
      <c r="D387" s="167" t="s">
        <v>875</v>
      </c>
      <c r="E387" s="167" t="s">
        <v>876</v>
      </c>
      <c r="F387" s="167" t="s">
        <v>214</v>
      </c>
      <c r="G387" s="167" t="s">
        <v>131</v>
      </c>
    </row>
    <row r="388">
      <c r="A388" s="167" t="s">
        <v>881</v>
      </c>
      <c r="B388" s="167" t="str">
        <f>IFERROR(__xludf.DUMMYFUNCTION("GOOGLEFINANCE(A388,""Name"")"),"#N/A")</f>
        <v>#N/A</v>
      </c>
      <c r="C388" s="167" t="s">
        <v>882</v>
      </c>
      <c r="D388" s="167" t="s">
        <v>875</v>
      </c>
      <c r="E388" s="167" t="s">
        <v>876</v>
      </c>
      <c r="F388" s="167" t="s">
        <v>214</v>
      </c>
      <c r="G388" s="167" t="s">
        <v>131</v>
      </c>
    </row>
    <row r="389">
      <c r="A389" s="167" t="s">
        <v>883</v>
      </c>
      <c r="B389" s="167" t="str">
        <f>IFERROR(__xludf.DUMMYFUNCTION("GOOGLEFINANCE(A389,""Name"")"),"#N/A")</f>
        <v>#N/A</v>
      </c>
      <c r="C389" s="167" t="s">
        <v>882</v>
      </c>
      <c r="D389" s="167" t="s">
        <v>875</v>
      </c>
      <c r="E389" s="167" t="s">
        <v>876</v>
      </c>
      <c r="F389" s="167" t="s">
        <v>214</v>
      </c>
      <c r="G389" s="167" t="s">
        <v>131</v>
      </c>
    </row>
    <row r="390">
      <c r="A390" s="167" t="s">
        <v>884</v>
      </c>
      <c r="B390" s="167" t="str">
        <f>IFERROR(__xludf.DUMMYFUNCTION("GOOGLEFINANCE(A390,""Name"")"),"Banco da Amazonia SA")</f>
        <v>Banco da Amazonia SA</v>
      </c>
      <c r="C390" s="167" t="s">
        <v>885</v>
      </c>
      <c r="D390" s="167" t="s">
        <v>875</v>
      </c>
      <c r="E390" s="167" t="s">
        <v>876</v>
      </c>
      <c r="F390" s="167" t="s">
        <v>214</v>
      </c>
      <c r="G390" s="167" t="s">
        <v>131</v>
      </c>
    </row>
    <row r="391">
      <c r="A391" s="167" t="s">
        <v>886</v>
      </c>
      <c r="B391" s="167" t="str">
        <f>IFERROR(__xludf.DUMMYFUNCTION("GOOGLEFINANCE(A391,""Name"")"),"Banco BMG Sa")</f>
        <v>Banco BMG Sa</v>
      </c>
      <c r="C391" s="167" t="s">
        <v>887</v>
      </c>
      <c r="D391" s="167" t="s">
        <v>875</v>
      </c>
      <c r="E391" s="167" t="s">
        <v>876</v>
      </c>
      <c r="F391" s="167" t="s">
        <v>214</v>
      </c>
      <c r="G391" s="167" t="s">
        <v>131</v>
      </c>
    </row>
    <row r="392">
      <c r="A392" s="167" t="s">
        <v>888</v>
      </c>
      <c r="B392" s="167" t="str">
        <f>IFERROR(__xludf.DUMMYFUNCTION("GOOGLEFINANCE(A392,""Name"")"),"#N/A")</f>
        <v>#N/A</v>
      </c>
      <c r="C392" s="167" t="s">
        <v>889</v>
      </c>
      <c r="D392" s="167" t="s">
        <v>875</v>
      </c>
      <c r="E392" s="167" t="s">
        <v>876</v>
      </c>
      <c r="F392" s="167" t="s">
        <v>214</v>
      </c>
      <c r="G392" s="167" t="s">
        <v>131</v>
      </c>
    </row>
    <row r="393">
      <c r="A393" s="167" t="s">
        <v>890</v>
      </c>
      <c r="B393" s="167" t="str">
        <f>IFERROR(__xludf.DUMMYFUNCTION("GOOGLEFINANCE(A393,""Name"")"),"#N/A")</f>
        <v>#N/A</v>
      </c>
      <c r="C393" s="167" t="s">
        <v>889</v>
      </c>
      <c r="D393" s="167" t="s">
        <v>875</v>
      </c>
      <c r="E393" s="167" t="s">
        <v>876</v>
      </c>
      <c r="F393" s="167" t="s">
        <v>214</v>
      </c>
      <c r="G393" s="167" t="s">
        <v>131</v>
      </c>
    </row>
    <row r="394">
      <c r="A394" s="167" t="s">
        <v>891</v>
      </c>
      <c r="B394" s="167" t="str">
        <f>IFERROR(__xludf.DUMMYFUNCTION("GOOGLEFINANCE(A394,""Name"")"),"#N/A")</f>
        <v>#N/A</v>
      </c>
      <c r="C394" s="167" t="s">
        <v>889</v>
      </c>
      <c r="D394" s="167" t="s">
        <v>875</v>
      </c>
      <c r="E394" s="167" t="s">
        <v>876</v>
      </c>
      <c r="F394" s="167" t="s">
        <v>214</v>
      </c>
      <c r="G394" s="167" t="s">
        <v>131</v>
      </c>
    </row>
    <row r="395">
      <c r="A395" s="167" t="s">
        <v>892</v>
      </c>
      <c r="B395" s="167" t="str">
        <f>IFERROR(__xludf.DUMMYFUNCTION("GOOGLEFINANCE(A395,""Name"")"),"#N/A")</f>
        <v>#N/A</v>
      </c>
      <c r="C395" s="167" t="s">
        <v>893</v>
      </c>
      <c r="D395" s="167" t="s">
        <v>875</v>
      </c>
      <c r="E395" s="167" t="s">
        <v>876</v>
      </c>
      <c r="F395" s="167" t="s">
        <v>214</v>
      </c>
      <c r="G395" s="167" t="s">
        <v>131</v>
      </c>
    </row>
    <row r="396">
      <c r="A396" s="167" t="s">
        <v>894</v>
      </c>
      <c r="B396" s="167" t="str">
        <f>IFERROR(__xludf.DUMMYFUNCTION("GOOGLEFINANCE(A396,""Name"")"),"Banco do Estado de Sergipe SA")</f>
        <v>Banco do Estado de Sergipe SA</v>
      </c>
      <c r="C396" s="167" t="s">
        <v>895</v>
      </c>
      <c r="D396" s="167" t="s">
        <v>875</v>
      </c>
      <c r="E396" s="167" t="s">
        <v>876</v>
      </c>
      <c r="F396" s="167" t="s">
        <v>214</v>
      </c>
      <c r="G396" s="167" t="s">
        <v>131</v>
      </c>
    </row>
    <row r="397">
      <c r="A397" s="167" t="s">
        <v>896</v>
      </c>
      <c r="B397" s="167" t="str">
        <f>IFERROR(__xludf.DUMMYFUNCTION("GOOGLEFINANCE(A397,""Name"")"),"Banco do Estado de Sergipe SA Preference Shares")</f>
        <v>Banco do Estado de Sergipe SA Preference Shares</v>
      </c>
      <c r="C397" s="167" t="s">
        <v>895</v>
      </c>
      <c r="D397" s="167" t="s">
        <v>875</v>
      </c>
      <c r="E397" s="167" t="s">
        <v>876</v>
      </c>
      <c r="F397" s="167" t="s">
        <v>214</v>
      </c>
      <c r="G397" s="167" t="s">
        <v>131</v>
      </c>
    </row>
    <row r="398">
      <c r="A398" s="167" t="s">
        <v>897</v>
      </c>
      <c r="B398" s="167" t="str">
        <f>IFERROR(__xludf.DUMMYFUNCTION("GOOGLEFINANCE(A398,""Name"")"),"Banestes SA Banco do Estado Esprt Santo")</f>
        <v>Banestes SA Banco do Estado Esprt Santo</v>
      </c>
      <c r="C398" s="167" t="s">
        <v>898</v>
      </c>
      <c r="D398" s="167" t="s">
        <v>875</v>
      </c>
      <c r="E398" s="167" t="s">
        <v>876</v>
      </c>
      <c r="F398" s="167" t="s">
        <v>214</v>
      </c>
      <c r="G398" s="167" t="s">
        <v>131</v>
      </c>
    </row>
    <row r="399">
      <c r="A399" s="167" t="s">
        <v>899</v>
      </c>
      <c r="B399" s="167" t="str">
        <f>IFERROR(__xludf.DUMMYFUNCTION("GOOGLEFINANCE(A399,""Name"")"),"Banestes SA Banco do Estado Esprt Santo Preference Shares")</f>
        <v>Banestes SA Banco do Estado Esprt Santo Preference Shares</v>
      </c>
      <c r="C399" s="167" t="s">
        <v>898</v>
      </c>
      <c r="D399" s="167" t="s">
        <v>875</v>
      </c>
      <c r="E399" s="167" t="s">
        <v>876</v>
      </c>
      <c r="F399" s="167" t="s">
        <v>214</v>
      </c>
      <c r="G399" s="167" t="s">
        <v>131</v>
      </c>
    </row>
    <row r="400">
      <c r="A400" s="167" t="s">
        <v>900</v>
      </c>
      <c r="B400" s="167" t="str">
        <f>IFERROR(__xludf.DUMMYFUNCTION("GOOGLEFINANCE(A400,""Name"")"),"Banco do Estado do Rio Grande do Sul SA")</f>
        <v>Banco do Estado do Rio Grande do Sul SA</v>
      </c>
      <c r="C400" s="167" t="s">
        <v>901</v>
      </c>
      <c r="D400" s="167" t="s">
        <v>875</v>
      </c>
      <c r="E400" s="167" t="s">
        <v>876</v>
      </c>
      <c r="F400" s="167" t="s">
        <v>214</v>
      </c>
      <c r="G400" s="167" t="s">
        <v>131</v>
      </c>
    </row>
    <row r="401">
      <c r="A401" s="167" t="s">
        <v>902</v>
      </c>
      <c r="B401" s="167" t="str">
        <f>IFERROR(__xludf.DUMMYFUNCTION("GOOGLEFINANCE(A401,""Name"")"),"Banco do Estado do Rio Grande do Sul SA Preference Shares Class A")</f>
        <v>Banco do Estado do Rio Grande do Sul SA Preference Shares Class A</v>
      </c>
      <c r="C401" s="167" t="s">
        <v>901</v>
      </c>
      <c r="D401" s="167" t="s">
        <v>875</v>
      </c>
      <c r="E401" s="167" t="s">
        <v>876</v>
      </c>
      <c r="F401" s="167" t="s">
        <v>214</v>
      </c>
      <c r="G401" s="167" t="s">
        <v>131</v>
      </c>
    </row>
    <row r="402">
      <c r="A402" s="167" t="s">
        <v>903</v>
      </c>
      <c r="B402" s="167" t="str">
        <f>IFERROR(__xludf.DUMMYFUNCTION("GOOGLEFINANCE(A402,""Name"")"),"Banco do Estado do Rio Grande do Sul SA Preference Shares Class B")</f>
        <v>Banco do Estado do Rio Grande do Sul SA Preference Shares Class B</v>
      </c>
      <c r="C402" s="167" t="s">
        <v>901</v>
      </c>
      <c r="D402" s="167" t="s">
        <v>875</v>
      </c>
      <c r="E402" s="167" t="s">
        <v>876</v>
      </c>
      <c r="F402" s="167" t="s">
        <v>214</v>
      </c>
      <c r="G402" s="167" t="s">
        <v>131</v>
      </c>
    </row>
    <row r="403">
      <c r="A403" s="167" t="s">
        <v>90</v>
      </c>
      <c r="B403" s="167" t="str">
        <f>IFERROR(__xludf.DUMMYFUNCTION("GOOGLEFINANCE(A403,""Name"")"),"Banco Bradesco Cedear")</f>
        <v>Banco Bradesco Cedear</v>
      </c>
      <c r="C403" s="167" t="s">
        <v>904</v>
      </c>
      <c r="D403" s="167" t="s">
        <v>875</v>
      </c>
      <c r="E403" s="167" t="s">
        <v>876</v>
      </c>
      <c r="F403" s="167" t="s">
        <v>214</v>
      </c>
      <c r="G403" s="167" t="s">
        <v>131</v>
      </c>
    </row>
    <row r="404">
      <c r="A404" s="167" t="s">
        <v>905</v>
      </c>
      <c r="B404" s="167" t="str">
        <f>IFERROR(__xludf.DUMMYFUNCTION("GOOGLEFINANCE(A404,""Name"")"),"Banco Bradesco SA Preference Shares")</f>
        <v>Banco Bradesco SA Preference Shares</v>
      </c>
      <c r="C404" s="167" t="s">
        <v>904</v>
      </c>
      <c r="D404" s="167" t="s">
        <v>875</v>
      </c>
      <c r="E404" s="167" t="s">
        <v>876</v>
      </c>
      <c r="F404" s="167" t="s">
        <v>214</v>
      </c>
      <c r="G404" s="167" t="s">
        <v>131</v>
      </c>
    </row>
    <row r="405">
      <c r="A405" s="167" t="s">
        <v>906</v>
      </c>
      <c r="B405" s="167" t="str">
        <f>IFERROR(__xludf.DUMMYFUNCTION("GOOGLEFINANCE(A405,""Name"")"),"BANCO DO BRASIL CEDAR")</f>
        <v>BANCO DO BRASIL CEDAR</v>
      </c>
      <c r="C405" s="167" t="s">
        <v>907</v>
      </c>
      <c r="D405" s="167" t="s">
        <v>875</v>
      </c>
      <c r="E405" s="167" t="s">
        <v>876</v>
      </c>
      <c r="F405" s="167" t="s">
        <v>214</v>
      </c>
      <c r="G405" s="167" t="s">
        <v>131</v>
      </c>
    </row>
    <row r="406">
      <c r="A406" s="167" t="s">
        <v>908</v>
      </c>
      <c r="B406" s="167" t="str">
        <f>IFERROR(__xludf.DUMMYFUNCTION("GOOGLEFINANCE(A406,""Name"")"),"BRB-Banco de Brasilia SA")</f>
        <v>BRB-Banco de Brasilia SA</v>
      </c>
      <c r="C406" s="167" t="s">
        <v>909</v>
      </c>
      <c r="D406" s="167" t="s">
        <v>875</v>
      </c>
      <c r="E406" s="167" t="s">
        <v>876</v>
      </c>
      <c r="F406" s="167" t="s">
        <v>214</v>
      </c>
      <c r="G406" s="167" t="s">
        <v>131</v>
      </c>
    </row>
    <row r="407">
      <c r="A407" s="167" t="s">
        <v>910</v>
      </c>
      <c r="B407" s="167" t="str">
        <f>IFERROR(__xludf.DUMMYFUNCTION("GOOGLEFINANCE(A407,""Name"")"),"BRB-Banco de Brasilia SA Preference Shares")</f>
        <v>BRB-Banco de Brasilia SA Preference Shares</v>
      </c>
      <c r="C407" s="167" t="s">
        <v>909</v>
      </c>
      <c r="D407" s="167" t="s">
        <v>875</v>
      </c>
      <c r="E407" s="167" t="s">
        <v>876</v>
      </c>
      <c r="F407" s="167" t="s">
        <v>214</v>
      </c>
      <c r="G407" s="167" t="s">
        <v>131</v>
      </c>
    </row>
    <row r="408">
      <c r="A408" s="167" t="s">
        <v>911</v>
      </c>
      <c r="B408" s="167" t="str">
        <f>IFERROR(__xludf.DUMMYFUNCTION("GOOGLEFINANCE(A408,""Name"")"),"Banco BTG Pactual SA")</f>
        <v>Banco BTG Pactual SA</v>
      </c>
      <c r="C408" s="167" t="s">
        <v>912</v>
      </c>
      <c r="D408" s="167" t="s">
        <v>875</v>
      </c>
      <c r="E408" s="167" t="s">
        <v>876</v>
      </c>
      <c r="F408" s="167" t="s">
        <v>214</v>
      </c>
      <c r="G408" s="167" t="s">
        <v>131</v>
      </c>
    </row>
    <row r="409">
      <c r="A409" s="167" t="s">
        <v>913</v>
      </c>
      <c r="B409" s="167" t="str">
        <f>IFERROR(__xludf.DUMMYFUNCTION("GOOGLEFINANCE(A409,""Name"")"),"Banco BTG Pactual SA Preference Shares Class A")</f>
        <v>Banco BTG Pactual SA Preference Shares Class A</v>
      </c>
      <c r="C409" s="167" t="s">
        <v>912</v>
      </c>
      <c r="D409" s="167" t="s">
        <v>875</v>
      </c>
      <c r="E409" s="167" t="s">
        <v>876</v>
      </c>
      <c r="F409" s="167" t="s">
        <v>214</v>
      </c>
      <c r="G409" s="167" t="s">
        <v>131</v>
      </c>
    </row>
    <row r="410">
      <c r="A410" s="167" t="s">
        <v>914</v>
      </c>
      <c r="B410" s="167" t="str">
        <f>IFERROR(__xludf.DUMMYFUNCTION("GOOGLEFINANCE(A410,""Name"")"),"Banco BTG Pactual SA Unit")</f>
        <v>Banco BTG Pactual SA Unit</v>
      </c>
      <c r="C410" s="167" t="s">
        <v>912</v>
      </c>
      <c r="D410" s="167" t="s">
        <v>875</v>
      </c>
      <c r="E410" s="167" t="s">
        <v>876</v>
      </c>
      <c r="F410" s="167" t="s">
        <v>214</v>
      </c>
      <c r="G410" s="167" t="s">
        <v>131</v>
      </c>
    </row>
    <row r="411">
      <c r="A411" s="167" t="s">
        <v>915</v>
      </c>
      <c r="B411" s="167" t="str">
        <f>IFERROR(__xludf.DUMMYFUNCTION("GOOGLEFINANCE(A411,""Name"")"),"#N/A")</f>
        <v>#N/A</v>
      </c>
      <c r="C411" s="167" t="s">
        <v>916</v>
      </c>
      <c r="D411" s="167" t="s">
        <v>875</v>
      </c>
      <c r="E411" s="167" t="s">
        <v>876</v>
      </c>
      <c r="F411" s="167" t="s">
        <v>214</v>
      </c>
      <c r="G411" s="167" t="s">
        <v>131</v>
      </c>
    </row>
    <row r="412">
      <c r="A412" s="167" t="s">
        <v>917</v>
      </c>
      <c r="B412" s="167" t="str">
        <f>IFERROR(__xludf.DUMMYFUNCTION("GOOGLEFINANCE(A412,""Name"")"),"#N/A")</f>
        <v>#N/A</v>
      </c>
      <c r="C412" s="167" t="s">
        <v>916</v>
      </c>
      <c r="D412" s="167" t="s">
        <v>875</v>
      </c>
      <c r="E412" s="167" t="s">
        <v>876</v>
      </c>
      <c r="F412" s="167" t="s">
        <v>214</v>
      </c>
      <c r="G412" s="167" t="s">
        <v>131</v>
      </c>
    </row>
    <row r="413">
      <c r="A413" s="167" t="s">
        <v>918</v>
      </c>
      <c r="B413" s="167" t="str">
        <f>IFERROR(__xludf.DUMMYFUNCTION("GOOGLEFINANCE(A413,""Name"")"),"Itausa SA Preference Shares")</f>
        <v>Itausa SA Preference Shares</v>
      </c>
      <c r="C413" s="167" t="s">
        <v>919</v>
      </c>
      <c r="D413" s="167" t="s">
        <v>875</v>
      </c>
      <c r="E413" s="167" t="s">
        <v>876</v>
      </c>
      <c r="F413" s="167" t="s">
        <v>214</v>
      </c>
      <c r="G413" s="167" t="s">
        <v>131</v>
      </c>
    </row>
    <row r="414">
      <c r="A414" s="167" t="s">
        <v>920</v>
      </c>
      <c r="B414" s="167" t="str">
        <f>IFERROR(__xludf.DUMMYFUNCTION("GOOGLEFINANCE(A414,""Name"")"),"Itausa SA")</f>
        <v>Itausa SA</v>
      </c>
      <c r="C414" s="167" t="s">
        <v>919</v>
      </c>
      <c r="D414" s="167" t="s">
        <v>875</v>
      </c>
      <c r="E414" s="167" t="s">
        <v>876</v>
      </c>
      <c r="F414" s="167" t="s">
        <v>214</v>
      </c>
      <c r="G414" s="167" t="s">
        <v>131</v>
      </c>
    </row>
    <row r="415">
      <c r="A415" s="167" t="s">
        <v>23</v>
      </c>
      <c r="B415" s="167" t="str">
        <f>IFERROR(__xludf.DUMMYFUNCTION("GOOGLEFINANCE(A415,""Name"")"),"Itau Unibanco Holding Cedear")</f>
        <v>Itau Unibanco Holding Cedear</v>
      </c>
      <c r="C415" s="167" t="s">
        <v>921</v>
      </c>
      <c r="D415" s="167" t="s">
        <v>875</v>
      </c>
      <c r="E415" s="167" t="s">
        <v>876</v>
      </c>
      <c r="F415" s="167" t="s">
        <v>214</v>
      </c>
      <c r="G415" s="167" t="s">
        <v>131</v>
      </c>
    </row>
    <row r="416">
      <c r="A416" s="167" t="s">
        <v>922</v>
      </c>
      <c r="B416" s="167" t="str">
        <f>IFERROR(__xludf.DUMMYFUNCTION("GOOGLEFINANCE(A416,""Name"")"),"Itau Unibanco Holding SA Preference Shares")</f>
        <v>Itau Unibanco Holding SA Preference Shares</v>
      </c>
      <c r="C416" s="167" t="s">
        <v>921</v>
      </c>
      <c r="D416" s="167" t="s">
        <v>875</v>
      </c>
      <c r="E416" s="167" t="s">
        <v>876</v>
      </c>
      <c r="F416" s="167" t="s">
        <v>214</v>
      </c>
      <c r="G416" s="167" t="s">
        <v>131</v>
      </c>
    </row>
    <row r="417">
      <c r="A417" s="167" t="s">
        <v>923</v>
      </c>
      <c r="B417" s="167" t="str">
        <f>IFERROR(__xludf.DUMMYFUNCTION("GOOGLEFINANCE(A417,""Name"")"),"Banco Mercantil do Brasil SA")</f>
        <v>Banco Mercantil do Brasil SA</v>
      </c>
      <c r="C417" s="167" t="s">
        <v>924</v>
      </c>
      <c r="D417" s="167" t="s">
        <v>875</v>
      </c>
      <c r="E417" s="167" t="s">
        <v>876</v>
      </c>
      <c r="F417" s="167" t="s">
        <v>214</v>
      </c>
      <c r="G417" s="167" t="s">
        <v>131</v>
      </c>
    </row>
    <row r="418">
      <c r="A418" s="167" t="s">
        <v>925</v>
      </c>
      <c r="B418" s="167" t="str">
        <f>IFERROR(__xludf.DUMMYFUNCTION("GOOGLEFINANCE(A418,""Name"")"),"Banco Mercantil do Brasil SA Preference Shares")</f>
        <v>Banco Mercantil do Brasil SA Preference Shares</v>
      </c>
      <c r="C418" s="167" t="s">
        <v>924</v>
      </c>
      <c r="D418" s="167" t="s">
        <v>875</v>
      </c>
      <c r="E418" s="167" t="s">
        <v>876</v>
      </c>
      <c r="F418" s="167" t="s">
        <v>214</v>
      </c>
      <c r="G418" s="167" t="s">
        <v>131</v>
      </c>
    </row>
    <row r="419">
      <c r="A419" s="167" t="s">
        <v>926</v>
      </c>
      <c r="B419" s="167" t="str">
        <f>IFERROR(__xludf.DUMMYFUNCTION("GOOGLEFINANCE(A419,""Name"")"),"Banco Mercantil de Investimentos SA")</f>
        <v>Banco Mercantil de Investimentos SA</v>
      </c>
      <c r="C419" s="167" t="s">
        <v>927</v>
      </c>
      <c r="D419" s="167" t="s">
        <v>875</v>
      </c>
      <c r="E419" s="167" t="s">
        <v>876</v>
      </c>
      <c r="F419" s="167" t="s">
        <v>214</v>
      </c>
      <c r="G419" s="167" t="s">
        <v>131</v>
      </c>
    </row>
    <row r="420">
      <c r="A420" s="167" t="s">
        <v>928</v>
      </c>
      <c r="B420" s="167" t="str">
        <f>IFERROR(__xludf.DUMMYFUNCTION("GOOGLEFINANCE(A420,""Name"")"),"Banco Mercantil de Investimentos SA Preference Shares")</f>
        <v>Banco Mercantil de Investimentos SA Preference Shares</v>
      </c>
      <c r="C420" s="167" t="s">
        <v>927</v>
      </c>
      <c r="D420" s="167" t="s">
        <v>875</v>
      </c>
      <c r="E420" s="167" t="s">
        <v>876</v>
      </c>
      <c r="F420" s="167" t="s">
        <v>214</v>
      </c>
      <c r="G420" s="167" t="s">
        <v>131</v>
      </c>
    </row>
    <row r="421">
      <c r="A421" s="167" t="s">
        <v>929</v>
      </c>
      <c r="B421" s="167" t="str">
        <f>IFERROR(__xludf.DUMMYFUNCTION("GOOGLEFINANCE(A421,""Name"")"),"Banco do Nordeste do Brasil SA")</f>
        <v>Banco do Nordeste do Brasil SA</v>
      </c>
      <c r="C421" s="167" t="s">
        <v>930</v>
      </c>
      <c r="D421" s="167" t="s">
        <v>875</v>
      </c>
      <c r="E421" s="167" t="s">
        <v>876</v>
      </c>
      <c r="F421" s="167" t="s">
        <v>214</v>
      </c>
      <c r="G421" s="167" t="s">
        <v>131</v>
      </c>
    </row>
    <row r="422">
      <c r="A422" s="167" t="s">
        <v>931</v>
      </c>
      <c r="B422" s="167" t="str">
        <f>IFERROR(__xludf.DUMMYFUNCTION("GOOGLEFINANCE(A422,""Name"")"),"Banco Pine SA Preference Shares")</f>
        <v>Banco Pine SA Preference Shares</v>
      </c>
      <c r="C422" s="167" t="s">
        <v>932</v>
      </c>
      <c r="D422" s="167" t="s">
        <v>875</v>
      </c>
      <c r="E422" s="167" t="s">
        <v>876</v>
      </c>
      <c r="F422" s="167" t="s">
        <v>214</v>
      </c>
      <c r="G422" s="167" t="s">
        <v>131</v>
      </c>
    </row>
    <row r="423">
      <c r="A423" s="167" t="s">
        <v>933</v>
      </c>
      <c r="B423" s="167" t="str">
        <f>IFERROR(__xludf.DUMMYFUNCTION("GOOGLEFINANCE(A423,""Name"")"),"Banco Santander Brasil SA")</f>
        <v>Banco Santander Brasil SA</v>
      </c>
      <c r="C423" s="167" t="s">
        <v>934</v>
      </c>
      <c r="D423" s="167" t="s">
        <v>875</v>
      </c>
      <c r="E423" s="167" t="s">
        <v>876</v>
      </c>
      <c r="F423" s="167" t="s">
        <v>214</v>
      </c>
      <c r="G423" s="167" t="s">
        <v>131</v>
      </c>
    </row>
    <row r="424">
      <c r="A424" s="167" t="s">
        <v>935</v>
      </c>
      <c r="B424" s="167" t="str">
        <f>IFERROR(__xludf.DUMMYFUNCTION("GOOGLEFINANCE(A424,""Name"")"),"Banco Santander Brasil SA Preference Shares")</f>
        <v>Banco Santander Brasil SA Preference Shares</v>
      </c>
      <c r="C424" s="167" t="s">
        <v>934</v>
      </c>
      <c r="D424" s="167" t="s">
        <v>875</v>
      </c>
      <c r="E424" s="167" t="s">
        <v>876</v>
      </c>
      <c r="F424" s="167" t="s">
        <v>214</v>
      </c>
      <c r="G424" s="167" t="s">
        <v>131</v>
      </c>
    </row>
    <row r="425">
      <c r="A425" s="167" t="s">
        <v>936</v>
      </c>
      <c r="B425" s="167" t="str">
        <f>IFERROR(__xludf.DUMMYFUNCTION("GOOGLEFINANCE(A425,""Name"")"),"Banco Santander Brasil SA Unit")</f>
        <v>Banco Santander Brasil SA Unit</v>
      </c>
      <c r="C425" s="167" t="s">
        <v>934</v>
      </c>
      <c r="D425" s="167" t="s">
        <v>875</v>
      </c>
      <c r="E425" s="167" t="s">
        <v>876</v>
      </c>
      <c r="F425" s="167" t="s">
        <v>214</v>
      </c>
      <c r="G425" s="167" t="s">
        <v>131</v>
      </c>
    </row>
    <row r="426">
      <c r="A426" s="167" t="s">
        <v>937</v>
      </c>
      <c r="B426" s="167" t="str">
        <f>IFERROR(__xludf.DUMMYFUNCTION("GOOGLEFINANCE(A426,""Name"")"),"#N/A")</f>
        <v>#N/A</v>
      </c>
      <c r="C426" s="167" t="s">
        <v>938</v>
      </c>
      <c r="D426" s="167" t="s">
        <v>875</v>
      </c>
      <c r="E426" s="167" t="s">
        <v>876</v>
      </c>
      <c r="F426" s="167" t="s">
        <v>939</v>
      </c>
      <c r="G426" s="167" t="s">
        <v>131</v>
      </c>
    </row>
    <row r="427">
      <c r="A427" s="167" t="s">
        <v>940</v>
      </c>
      <c r="B427" s="167" t="str">
        <f>IFERROR(__xludf.DUMMYFUNCTION("GOOGLEFINANCE(A427,""Name"")"),"#N/A")</f>
        <v>#N/A</v>
      </c>
      <c r="C427" s="167" t="s">
        <v>938</v>
      </c>
      <c r="D427" s="167" t="s">
        <v>875</v>
      </c>
      <c r="E427" s="167" t="s">
        <v>876</v>
      </c>
      <c r="F427" s="167" t="s">
        <v>939</v>
      </c>
      <c r="G427" s="167" t="s">
        <v>131</v>
      </c>
    </row>
    <row r="428">
      <c r="A428" s="167" t="s">
        <v>941</v>
      </c>
      <c r="B428" s="167" t="str">
        <f>IFERROR(__xludf.DUMMYFUNCTION("GOOGLEFINANCE(A428,""Name"")"),"#N/A")</f>
        <v>#N/A</v>
      </c>
      <c r="C428" s="167" t="s">
        <v>942</v>
      </c>
      <c r="D428" s="167" t="s">
        <v>875</v>
      </c>
      <c r="E428" s="167" t="s">
        <v>876</v>
      </c>
      <c r="F428" s="167" t="s">
        <v>939</v>
      </c>
      <c r="G428" s="167" t="s">
        <v>131</v>
      </c>
    </row>
    <row r="429">
      <c r="A429" s="167" t="s">
        <v>943</v>
      </c>
      <c r="B429" s="167" t="str">
        <f>IFERROR(__xludf.DUMMYFUNCTION("GOOGLEFINANCE(A429,""Name"")"),"#N/A")</f>
        <v>#N/A</v>
      </c>
      <c r="C429" s="167" t="s">
        <v>942</v>
      </c>
      <c r="D429" s="167" t="s">
        <v>875</v>
      </c>
      <c r="E429" s="167" t="s">
        <v>876</v>
      </c>
      <c r="F429" s="167" t="s">
        <v>939</v>
      </c>
      <c r="G429" s="167" t="s">
        <v>131</v>
      </c>
    </row>
    <row r="430">
      <c r="A430" s="167" t="s">
        <v>944</v>
      </c>
      <c r="B430" s="167" t="str">
        <f>IFERROR(__xludf.DUMMYFUNCTION("GOOGLEFINANCE(A430,""Name"")"),"#N/A")</f>
        <v>#N/A</v>
      </c>
      <c r="C430" s="167" t="s">
        <v>945</v>
      </c>
      <c r="D430" s="167" t="s">
        <v>875</v>
      </c>
      <c r="E430" s="167" t="s">
        <v>257</v>
      </c>
      <c r="F430" s="167" t="s">
        <v>946</v>
      </c>
      <c r="G430" s="167" t="s">
        <v>131</v>
      </c>
    </row>
    <row r="431">
      <c r="A431" s="167" t="s">
        <v>947</v>
      </c>
      <c r="B431" s="167" t="str">
        <f>IFERROR(__xludf.DUMMYFUNCTION("GOOGLEFINANCE(A431,""Name"")"),"PPLA Participations Ltd Unit")</f>
        <v>PPLA Participations Ltd Unit</v>
      </c>
      <c r="C431" s="167" t="s">
        <v>948</v>
      </c>
      <c r="D431" s="167" t="s">
        <v>875</v>
      </c>
      <c r="E431" s="167" t="s">
        <v>257</v>
      </c>
      <c r="F431" s="167" t="s">
        <v>946</v>
      </c>
      <c r="G431" s="167" t="s">
        <v>131</v>
      </c>
    </row>
    <row r="432">
      <c r="A432" s="167" t="s">
        <v>89</v>
      </c>
      <c r="B432" s="167" t="str">
        <f>IFERROR(__xludf.DUMMYFUNCTION("GOOGLEFINANCE(A432,""Name"")"),"B3 SA Brasil Bolsa Balcao")</f>
        <v>B3 SA Brasil Bolsa Balcao</v>
      </c>
      <c r="C432" s="167" t="s">
        <v>949</v>
      </c>
      <c r="D432" s="167" t="s">
        <v>875</v>
      </c>
      <c r="E432" s="167" t="s">
        <v>257</v>
      </c>
      <c r="F432" s="167" t="s">
        <v>257</v>
      </c>
      <c r="G432" s="167" t="s">
        <v>131</v>
      </c>
    </row>
    <row r="433">
      <c r="A433" s="167" t="s">
        <v>950</v>
      </c>
      <c r="B433" s="167" t="str">
        <f>IFERROR(__xludf.DUMMYFUNCTION("GOOGLEFINANCE(A433,""Name"")"),"#N/A")</f>
        <v>#N/A</v>
      </c>
      <c r="C433" s="167" t="s">
        <v>951</v>
      </c>
      <c r="D433" s="167" t="s">
        <v>875</v>
      </c>
      <c r="E433" s="167" t="s">
        <v>257</v>
      </c>
      <c r="F433" s="167" t="s">
        <v>257</v>
      </c>
      <c r="G433" s="167" t="s">
        <v>131</v>
      </c>
    </row>
    <row r="434">
      <c r="A434" s="167" t="s">
        <v>952</v>
      </c>
      <c r="B434" s="167" t="str">
        <f>IFERROR(__xludf.DUMMYFUNCTION("GOOGLEFINANCE(A434,""Name"")"),"#N/A")</f>
        <v>#N/A</v>
      </c>
      <c r="C434" s="167" t="s">
        <v>953</v>
      </c>
      <c r="D434" s="167" t="s">
        <v>875</v>
      </c>
      <c r="E434" s="167" t="s">
        <v>954</v>
      </c>
      <c r="F434" s="167" t="s">
        <v>254</v>
      </c>
      <c r="G434" s="167" t="s">
        <v>131</v>
      </c>
    </row>
    <row r="435">
      <c r="A435" s="167" t="s">
        <v>955</v>
      </c>
      <c r="B435" s="167" t="str">
        <f>IFERROR(__xludf.DUMMYFUNCTION("GOOGLEFINANCE(A435,""Name"")"),"#N/A")</f>
        <v>#N/A</v>
      </c>
      <c r="C435" s="167" t="s">
        <v>953</v>
      </c>
      <c r="D435" s="167" t="s">
        <v>875</v>
      </c>
      <c r="E435" s="167" t="s">
        <v>954</v>
      </c>
      <c r="F435" s="167" t="s">
        <v>254</v>
      </c>
      <c r="G435" s="167" t="s">
        <v>131</v>
      </c>
    </row>
    <row r="436">
      <c r="A436" s="167" t="s">
        <v>956</v>
      </c>
      <c r="B436" s="167" t="str">
        <f>IFERROR(__xludf.DUMMYFUNCTION("GOOGLEFINANCE(A436,""Name"")"),"#N/A")</f>
        <v>#N/A</v>
      </c>
      <c r="C436" s="167" t="s">
        <v>953</v>
      </c>
      <c r="D436" s="167" t="s">
        <v>875</v>
      </c>
      <c r="E436" s="167" t="s">
        <v>954</v>
      </c>
      <c r="F436" s="167" t="s">
        <v>254</v>
      </c>
      <c r="G436" s="167" t="s">
        <v>131</v>
      </c>
    </row>
    <row r="437">
      <c r="A437" s="167" t="s">
        <v>957</v>
      </c>
      <c r="B437" s="167" t="str">
        <f>IFERROR(__xludf.DUMMYFUNCTION("GOOGLEFINANCE(A437,""Name"")"),"#N/A")</f>
        <v>#N/A</v>
      </c>
      <c r="C437" s="167" t="s">
        <v>953</v>
      </c>
      <c r="D437" s="167" t="s">
        <v>875</v>
      </c>
      <c r="E437" s="167" t="s">
        <v>954</v>
      </c>
      <c r="F437" s="167" t="s">
        <v>254</v>
      </c>
      <c r="G437" s="167" t="s">
        <v>131</v>
      </c>
    </row>
    <row r="438">
      <c r="A438" s="167" t="s">
        <v>958</v>
      </c>
      <c r="B438" s="167" t="str">
        <f>IFERROR(__xludf.DUMMYFUNCTION("GOOGLEFINANCE(A438,""Name"")"),"#N/A")</f>
        <v>#N/A</v>
      </c>
      <c r="C438" s="167" t="s">
        <v>953</v>
      </c>
      <c r="D438" s="167" t="s">
        <v>875</v>
      </c>
      <c r="E438" s="167" t="s">
        <v>954</v>
      </c>
      <c r="F438" s="167" t="s">
        <v>254</v>
      </c>
      <c r="G438" s="167" t="s">
        <v>131</v>
      </c>
    </row>
    <row r="439">
      <c r="A439" s="167" t="s">
        <v>959</v>
      </c>
      <c r="B439" s="167" t="str">
        <f>IFERROR(__xludf.DUMMYFUNCTION("GOOGLEFINANCE(A439,""Name"")"),"#N/A")</f>
        <v>#N/A</v>
      </c>
      <c r="C439" s="167" t="s">
        <v>953</v>
      </c>
      <c r="D439" s="167" t="s">
        <v>875</v>
      </c>
      <c r="E439" s="167" t="s">
        <v>954</v>
      </c>
      <c r="F439" s="167" t="s">
        <v>254</v>
      </c>
      <c r="G439" s="167" t="s">
        <v>131</v>
      </c>
    </row>
    <row r="440">
      <c r="A440" s="167" t="s">
        <v>960</v>
      </c>
      <c r="B440" s="167" t="str">
        <f>IFERROR(__xludf.DUMMYFUNCTION("GOOGLEFINANCE(A440,""Name"")"),"#N/A")</f>
        <v>#N/A</v>
      </c>
      <c r="C440" s="167" t="s">
        <v>953</v>
      </c>
      <c r="D440" s="167" t="s">
        <v>875</v>
      </c>
      <c r="E440" s="167" t="s">
        <v>954</v>
      </c>
      <c r="F440" s="167" t="s">
        <v>254</v>
      </c>
      <c r="G440" s="167" t="s">
        <v>131</v>
      </c>
    </row>
    <row r="441">
      <c r="A441" s="167" t="s">
        <v>961</v>
      </c>
      <c r="B441" s="167" t="str">
        <f>IFERROR(__xludf.DUMMYFUNCTION("GOOGLEFINANCE(A441,""Name"")"),"BB Seguridade Participacoes SA")</f>
        <v>BB Seguridade Participacoes SA</v>
      </c>
      <c r="C441" s="167" t="s">
        <v>962</v>
      </c>
      <c r="D441" s="167" t="s">
        <v>875</v>
      </c>
      <c r="E441" s="167" t="s">
        <v>954</v>
      </c>
      <c r="F441" s="167" t="s">
        <v>254</v>
      </c>
      <c r="G441" s="167" t="s">
        <v>131</v>
      </c>
    </row>
    <row r="442">
      <c r="A442" s="167" t="s">
        <v>963</v>
      </c>
      <c r="B442" s="167" t="str">
        <f>IFERROR(__xludf.DUMMYFUNCTION("GOOGLEFINANCE(A442,""Name"")"),"IRB-Brasil Resseguros SA")</f>
        <v>IRB-Brasil Resseguros SA</v>
      </c>
      <c r="C442" s="167" t="s">
        <v>964</v>
      </c>
      <c r="D442" s="167" t="s">
        <v>875</v>
      </c>
      <c r="E442" s="167" t="s">
        <v>954</v>
      </c>
      <c r="F442" s="167" t="s">
        <v>254</v>
      </c>
      <c r="G442" s="167" t="s">
        <v>131</v>
      </c>
    </row>
    <row r="443">
      <c r="A443" s="167" t="s">
        <v>88</v>
      </c>
      <c r="B443" s="167" t="str">
        <f>IFERROR(__xludf.DUMMYFUNCTION("GOOGLEFINANCE(A443,""Name"")"),"Porto Seguro SA")</f>
        <v>Porto Seguro SA</v>
      </c>
      <c r="C443" s="167" t="s">
        <v>965</v>
      </c>
      <c r="D443" s="167" t="s">
        <v>875</v>
      </c>
      <c r="E443" s="167" t="s">
        <v>954</v>
      </c>
      <c r="F443" s="167" t="s">
        <v>254</v>
      </c>
      <c r="G443" s="167" t="s">
        <v>131</v>
      </c>
    </row>
    <row r="444">
      <c r="A444" s="167" t="s">
        <v>966</v>
      </c>
      <c r="B444" s="167" t="str">
        <f>IFERROR(__xludf.DUMMYFUNCTION("GOOGLEFINANCE(A444,""Name"")"),"#N/A")</f>
        <v>#N/A</v>
      </c>
      <c r="C444" s="167" t="s">
        <v>967</v>
      </c>
      <c r="D444" s="167" t="s">
        <v>875</v>
      </c>
      <c r="E444" s="167" t="s">
        <v>954</v>
      </c>
      <c r="F444" s="167" t="s">
        <v>254</v>
      </c>
      <c r="G444" s="167" t="s">
        <v>131</v>
      </c>
    </row>
    <row r="445">
      <c r="A445" s="167" t="s">
        <v>968</v>
      </c>
      <c r="B445" s="167" t="str">
        <f>IFERROR(__xludf.DUMMYFUNCTION("GOOGLEFINANCE(A445,""Name"")"),"#N/A")</f>
        <v>#N/A</v>
      </c>
      <c r="C445" s="167" t="s">
        <v>967</v>
      </c>
      <c r="D445" s="167" t="s">
        <v>875</v>
      </c>
      <c r="E445" s="167" t="s">
        <v>954</v>
      </c>
      <c r="F445" s="167" t="s">
        <v>254</v>
      </c>
      <c r="G445" s="167" t="s">
        <v>131</v>
      </c>
    </row>
    <row r="446">
      <c r="A446" s="167" t="s">
        <v>969</v>
      </c>
      <c r="B446" s="167" t="str">
        <f>IFERROR(__xludf.DUMMYFUNCTION("GOOGLEFINANCE(A446,""Name"")"),"#N/A")</f>
        <v>#N/A</v>
      </c>
      <c r="C446" s="167" t="s">
        <v>970</v>
      </c>
      <c r="D446" s="167" t="s">
        <v>875</v>
      </c>
      <c r="E446" s="167" t="s">
        <v>954</v>
      </c>
      <c r="F446" s="167" t="s">
        <v>254</v>
      </c>
      <c r="G446" s="167" t="s">
        <v>131</v>
      </c>
    </row>
    <row r="447">
      <c r="A447" s="167" t="s">
        <v>971</v>
      </c>
      <c r="B447" s="167" t="str">
        <f>IFERROR(__xludf.DUMMYFUNCTION("GOOGLEFINANCE(A447,""Name"")"),"#N/A")</f>
        <v>#N/A</v>
      </c>
      <c r="C447" s="167" t="s">
        <v>970</v>
      </c>
      <c r="D447" s="167" t="s">
        <v>875</v>
      </c>
      <c r="E447" s="167" t="s">
        <v>954</v>
      </c>
      <c r="F447" s="167" t="s">
        <v>254</v>
      </c>
      <c r="G447" s="167" t="s">
        <v>131</v>
      </c>
    </row>
    <row r="448">
      <c r="A448" s="167" t="s">
        <v>972</v>
      </c>
      <c r="B448" s="167" t="str">
        <f>IFERROR(__xludf.DUMMYFUNCTION("GOOGLEFINANCE(A448,""Name"")"),"#N/A")</f>
        <v>#N/A</v>
      </c>
      <c r="C448" s="167" t="s">
        <v>970</v>
      </c>
      <c r="D448" s="167" t="s">
        <v>875</v>
      </c>
      <c r="E448" s="167" t="s">
        <v>954</v>
      </c>
      <c r="F448" s="167" t="s">
        <v>254</v>
      </c>
      <c r="G448" s="167" t="s">
        <v>131</v>
      </c>
    </row>
    <row r="449">
      <c r="A449" s="167" t="s">
        <v>973</v>
      </c>
      <c r="B449" s="167" t="str">
        <f>IFERROR(__xludf.DUMMYFUNCTION("GOOGLEFINANCE(A449,""Name"")"),"#N/A")</f>
        <v>#N/A</v>
      </c>
      <c r="C449" s="167" t="s">
        <v>974</v>
      </c>
      <c r="D449" s="167" t="s">
        <v>875</v>
      </c>
      <c r="E449" s="167" t="s">
        <v>954</v>
      </c>
      <c r="F449" s="167" t="s">
        <v>975</v>
      </c>
      <c r="G449" s="167" t="s">
        <v>131</v>
      </c>
    </row>
    <row r="450">
      <c r="A450" s="167" t="s">
        <v>976</v>
      </c>
      <c r="B450" s="167" t="str">
        <f>IFERROR(__xludf.DUMMYFUNCTION("GOOGLEFINANCE(A450,""Name"")"),"#N/A")</f>
        <v>#N/A</v>
      </c>
      <c r="C450" s="167" t="s">
        <v>977</v>
      </c>
      <c r="D450" s="167" t="s">
        <v>875</v>
      </c>
      <c r="E450" s="167" t="s">
        <v>954</v>
      </c>
      <c r="F450" s="167" t="s">
        <v>975</v>
      </c>
      <c r="G450" s="167" t="s">
        <v>131</v>
      </c>
    </row>
    <row r="451">
      <c r="A451" s="167" t="s">
        <v>978</v>
      </c>
      <c r="B451" s="167" t="str">
        <f>IFERROR(__xludf.DUMMYFUNCTION("GOOGLEFINANCE(A451,""Name"")"),"#N/A")</f>
        <v>#N/A</v>
      </c>
      <c r="C451" s="167" t="s">
        <v>979</v>
      </c>
      <c r="D451" s="167" t="s">
        <v>875</v>
      </c>
      <c r="E451" s="167" t="s">
        <v>980</v>
      </c>
      <c r="F451" s="167" t="s">
        <v>980</v>
      </c>
      <c r="G451" s="167" t="s">
        <v>131</v>
      </c>
    </row>
    <row r="452">
      <c r="A452" s="167" t="s">
        <v>981</v>
      </c>
      <c r="B452" s="167" t="str">
        <f>IFERROR(__xludf.DUMMYFUNCTION("GOOGLEFINANCE(A452,""Name"")"),"#N/A")</f>
        <v>#N/A</v>
      </c>
      <c r="C452" s="167" t="s">
        <v>982</v>
      </c>
      <c r="D452" s="167" t="s">
        <v>875</v>
      </c>
      <c r="E452" s="167" t="s">
        <v>980</v>
      </c>
      <c r="F452" s="167" t="s">
        <v>980</v>
      </c>
      <c r="G452" s="167" t="s">
        <v>131</v>
      </c>
    </row>
    <row r="453">
      <c r="A453" s="167" t="s">
        <v>983</v>
      </c>
      <c r="B453" s="167" t="str">
        <f>IFERROR(__xludf.DUMMYFUNCTION("GOOGLEFINANCE(A453,""Name"")"),"#N/A")</f>
        <v>#N/A</v>
      </c>
      <c r="C453" s="167" t="s">
        <v>984</v>
      </c>
      <c r="D453" s="167" t="s">
        <v>875</v>
      </c>
      <c r="E453" s="167" t="s">
        <v>980</v>
      </c>
      <c r="F453" s="167" t="s">
        <v>980</v>
      </c>
      <c r="G453" s="167" t="s">
        <v>131</v>
      </c>
    </row>
    <row r="454">
      <c r="A454" s="167" t="s">
        <v>985</v>
      </c>
      <c r="B454" s="167" t="str">
        <f>IFERROR(__xludf.DUMMYFUNCTION("GOOGLEFINANCE(A454,""Name"")"),"SYN prop e tech SA")</f>
        <v>SYN prop e tech SA</v>
      </c>
      <c r="C454" s="167" t="s">
        <v>986</v>
      </c>
      <c r="D454" s="167" t="s">
        <v>875</v>
      </c>
      <c r="E454" s="167" t="s">
        <v>980</v>
      </c>
      <c r="F454" s="167" t="s">
        <v>980</v>
      </c>
      <c r="G454" s="167" t="s">
        <v>131</v>
      </c>
    </row>
    <row r="455">
      <c r="A455" s="167" t="s">
        <v>987</v>
      </c>
      <c r="B455" s="167" t="str">
        <f>IFERROR(__xludf.DUMMYFUNCTION("GOOGLEFINANCE(A455,""Name"")"),"General Shopping e Outlets do Brasil SA")</f>
        <v>General Shopping e Outlets do Brasil SA</v>
      </c>
      <c r="C455" s="167" t="s">
        <v>988</v>
      </c>
      <c r="D455" s="167" t="s">
        <v>875</v>
      </c>
      <c r="E455" s="167" t="s">
        <v>980</v>
      </c>
      <c r="F455" s="167" t="s">
        <v>980</v>
      </c>
      <c r="G455" s="167" t="s">
        <v>131</v>
      </c>
    </row>
    <row r="456">
      <c r="A456" s="167" t="s">
        <v>989</v>
      </c>
      <c r="B456" s="167" t="str">
        <f>IFERROR(__xludf.DUMMYFUNCTION("GOOGLEFINANCE(A456,""Name"")"),"Companhia Habitasul de Participacoes")</f>
        <v>Companhia Habitasul de Participacoes</v>
      </c>
      <c r="C456" s="167" t="s">
        <v>990</v>
      </c>
      <c r="D456" s="167" t="s">
        <v>875</v>
      </c>
      <c r="E456" s="167" t="s">
        <v>980</v>
      </c>
      <c r="F456" s="167" t="s">
        <v>980</v>
      </c>
      <c r="G456" s="167" t="s">
        <v>131</v>
      </c>
    </row>
    <row r="457">
      <c r="A457" s="167" t="s">
        <v>991</v>
      </c>
      <c r="B457" s="167" t="str">
        <f>IFERROR(__xludf.DUMMYFUNCTION("GOOGLEFINANCE(A457,""Name"")"),"Companhia Habitasul de Participacoes Preference Shares Class A")</f>
        <v>Companhia Habitasul de Participacoes Preference Shares Class A</v>
      </c>
      <c r="C457" s="167" t="s">
        <v>990</v>
      </c>
      <c r="D457" s="167" t="s">
        <v>875</v>
      </c>
      <c r="E457" s="167" t="s">
        <v>980</v>
      </c>
      <c r="F457" s="167" t="s">
        <v>980</v>
      </c>
      <c r="G457" s="167" t="s">
        <v>131</v>
      </c>
    </row>
    <row r="458">
      <c r="A458" s="167" t="s">
        <v>992</v>
      </c>
      <c r="B458" s="167" t="str">
        <f>IFERROR(__xludf.DUMMYFUNCTION("GOOGLEFINANCE(A458,""Name"")"),"Companhia Habitasul de Participacoes Preference Shares Class B")</f>
        <v>Companhia Habitasul de Participacoes Preference Shares Class B</v>
      </c>
      <c r="C458" s="167" t="s">
        <v>990</v>
      </c>
      <c r="D458" s="167" t="s">
        <v>875</v>
      </c>
      <c r="E458" s="167" t="s">
        <v>980</v>
      </c>
      <c r="F458" s="167" t="s">
        <v>980</v>
      </c>
      <c r="G458" s="167" t="s">
        <v>131</v>
      </c>
    </row>
    <row r="459">
      <c r="A459" s="167" t="s">
        <v>993</v>
      </c>
      <c r="B459" s="167" t="str">
        <f>IFERROR(__xludf.DUMMYFUNCTION("GOOGLEFINANCE(A459,""Name"")"),"#N/A")</f>
        <v>#N/A</v>
      </c>
      <c r="C459" s="167" t="s">
        <v>994</v>
      </c>
      <c r="D459" s="167" t="s">
        <v>875</v>
      </c>
      <c r="E459" s="167" t="s">
        <v>980</v>
      </c>
      <c r="F459" s="167" t="s">
        <v>980</v>
      </c>
      <c r="G459" s="167" t="s">
        <v>131</v>
      </c>
    </row>
    <row r="460">
      <c r="A460" s="167" t="s">
        <v>995</v>
      </c>
      <c r="B460" s="167" t="str">
        <f>IFERROR(__xludf.DUMMYFUNCTION("GOOGLEFINANCE(A460,""Name"")"),"#N/A")</f>
        <v>#N/A</v>
      </c>
      <c r="C460" s="167" t="s">
        <v>996</v>
      </c>
      <c r="D460" s="167" t="s">
        <v>875</v>
      </c>
      <c r="E460" s="167" t="s">
        <v>980</v>
      </c>
      <c r="F460" s="167" t="s">
        <v>980</v>
      </c>
      <c r="G460" s="167" t="s">
        <v>131</v>
      </c>
    </row>
    <row r="461">
      <c r="A461" s="167" t="s">
        <v>997</v>
      </c>
      <c r="B461" s="167" t="str">
        <f>IFERROR(__xludf.DUMMYFUNCTION("GOOGLEFINANCE(A461,""Name"")"),"#N/A")</f>
        <v>#N/A</v>
      </c>
      <c r="C461" s="167" t="s">
        <v>998</v>
      </c>
      <c r="D461" s="167" t="s">
        <v>875</v>
      </c>
      <c r="E461" s="167" t="s">
        <v>980</v>
      </c>
      <c r="F461" s="167" t="s">
        <v>980</v>
      </c>
      <c r="G461" s="167" t="s">
        <v>131</v>
      </c>
    </row>
    <row r="462">
      <c r="A462" s="167" t="s">
        <v>999</v>
      </c>
      <c r="B462" s="167" t="str">
        <f>IFERROR(__xludf.DUMMYFUNCTION("GOOGLEFINANCE(A462,""Name"")"),"Log Commercial Prprts  Prtcpcs S")</f>
        <v>Log Commercial Prprts  Prtcpcs S</v>
      </c>
      <c r="C462" s="167" t="s">
        <v>1000</v>
      </c>
      <c r="D462" s="167" t="s">
        <v>875</v>
      </c>
      <c r="E462" s="167" t="s">
        <v>980</v>
      </c>
      <c r="F462" s="167" t="s">
        <v>980</v>
      </c>
      <c r="G462" s="167" t="s">
        <v>131</v>
      </c>
    </row>
    <row r="463">
      <c r="A463" s="167" t="s">
        <v>1001</v>
      </c>
      <c r="B463" s="167" t="str">
        <f>IFERROR(__xludf.DUMMYFUNCTION("GOOGLEFINANCE(A463,""Name"")"),"#N/A")</f>
        <v>#N/A</v>
      </c>
      <c r="C463" s="167" t="s">
        <v>1002</v>
      </c>
      <c r="D463" s="167" t="s">
        <v>875</v>
      </c>
      <c r="E463" s="167" t="s">
        <v>980</v>
      </c>
      <c r="F463" s="167" t="s">
        <v>980</v>
      </c>
      <c r="G463" s="167" t="s">
        <v>131</v>
      </c>
    </row>
    <row r="464">
      <c r="A464" s="167" t="s">
        <v>1003</v>
      </c>
      <c r="B464" s="167" t="str">
        <f>IFERROR(__xludf.DUMMYFUNCTION("GOOGLEFINANCE(A464,""Name"")"),"Multiplan Empreendimentos Imobiliaris SA")</f>
        <v>Multiplan Empreendimentos Imobiliaris SA</v>
      </c>
      <c r="C464" s="167" t="s">
        <v>1004</v>
      </c>
      <c r="D464" s="167" t="s">
        <v>875</v>
      </c>
      <c r="E464" s="167" t="s">
        <v>980</v>
      </c>
      <c r="F464" s="167" t="s">
        <v>980</v>
      </c>
      <c r="G464" s="167" t="s">
        <v>131</v>
      </c>
    </row>
    <row r="465">
      <c r="A465" s="167" t="s">
        <v>1005</v>
      </c>
      <c r="B465" s="167" t="str">
        <f>IFERROR(__xludf.DUMMYFUNCTION("GOOGLEFINANCE(A465,""Name"")"),"Sao Carlos Empreendimentos e Part. SA")</f>
        <v>Sao Carlos Empreendimentos e Part. SA</v>
      </c>
      <c r="C465" s="167" t="s">
        <v>1006</v>
      </c>
      <c r="D465" s="167" t="s">
        <v>875</v>
      </c>
      <c r="E465" s="167" t="s">
        <v>980</v>
      </c>
      <c r="F465" s="167" t="s">
        <v>980</v>
      </c>
      <c r="G465" s="167" t="s">
        <v>131</v>
      </c>
    </row>
    <row r="466">
      <c r="A466" s="167" t="s">
        <v>1007</v>
      </c>
      <c r="B466" s="167" t="str">
        <f>IFERROR(__xludf.DUMMYFUNCTION("GOOGLEFINANCE(A466,""Name"")"),"#N/A")</f>
        <v>#N/A</v>
      </c>
      <c r="C466" s="167" t="s">
        <v>1008</v>
      </c>
      <c r="D466" s="167" t="s">
        <v>875</v>
      </c>
      <c r="E466" s="167" t="s">
        <v>980</v>
      </c>
      <c r="F466" s="167" t="s">
        <v>1009</v>
      </c>
      <c r="G466" s="167" t="s">
        <v>131</v>
      </c>
    </row>
    <row r="467">
      <c r="A467" s="167" t="s">
        <v>1010</v>
      </c>
      <c r="B467" s="167" t="str">
        <f>IFERROR(__xludf.DUMMYFUNCTION("GOOGLEFINANCE(A467,""Name"")"),"LPS Brasil Consultoria de Imoveis SA")</f>
        <v>LPS Brasil Consultoria de Imoveis SA</v>
      </c>
      <c r="C467" s="167" t="s">
        <v>1011</v>
      </c>
      <c r="D467" s="167" t="s">
        <v>875</v>
      </c>
      <c r="E467" s="167" t="s">
        <v>980</v>
      </c>
      <c r="F467" s="167" t="s">
        <v>1009</v>
      </c>
      <c r="G467" s="167" t="s">
        <v>131</v>
      </c>
    </row>
    <row r="468">
      <c r="A468" s="167" t="s">
        <v>1012</v>
      </c>
      <c r="B468" s="167" t="str">
        <f>IFERROR(__xludf.DUMMYFUNCTION("GOOGLEFINANCE(A468,""Name"")"),"#N/A")</f>
        <v>#N/A</v>
      </c>
      <c r="C468" s="167" t="s">
        <v>1013</v>
      </c>
      <c r="D468" s="167" t="s">
        <v>875</v>
      </c>
      <c r="E468" s="167" t="s">
        <v>1014</v>
      </c>
      <c r="F468" s="167" t="s">
        <v>1014</v>
      </c>
      <c r="G468" s="167" t="s">
        <v>131</v>
      </c>
    </row>
    <row r="469">
      <c r="A469" s="167" t="s">
        <v>1015</v>
      </c>
      <c r="B469" s="167" t="str">
        <f>IFERROR(__xludf.DUMMYFUNCTION("GOOGLEFINANCE(A469,""Name"")"),"Companhia de Participacoes Alianca Bahia")</f>
        <v>Companhia de Participacoes Alianca Bahia</v>
      </c>
      <c r="C469" s="167" t="s">
        <v>1016</v>
      </c>
      <c r="D469" s="167" t="s">
        <v>875</v>
      </c>
      <c r="E469" s="167" t="s">
        <v>1014</v>
      </c>
      <c r="F469" s="167" t="s">
        <v>1014</v>
      </c>
      <c r="G469" s="167" t="s">
        <v>131</v>
      </c>
    </row>
    <row r="470">
      <c r="A470" s="167" t="s">
        <v>1017</v>
      </c>
      <c r="B470" s="167" t="str">
        <f>IFERROR(__xludf.DUMMYFUNCTION("GOOGLEFINANCE(A470,""Name"")"),"Companhia de Participacoes Alianca Bahia Preference Shares")</f>
        <v>Companhia de Participacoes Alianca Bahia Preference Shares</v>
      </c>
      <c r="C470" s="167" t="s">
        <v>1016</v>
      </c>
      <c r="D470" s="167" t="s">
        <v>875</v>
      </c>
      <c r="E470" s="167" t="s">
        <v>1014</v>
      </c>
      <c r="F470" s="167" t="s">
        <v>1014</v>
      </c>
      <c r="G470" s="167" t="s">
        <v>131</v>
      </c>
    </row>
    <row r="471">
      <c r="A471" s="167" t="s">
        <v>543</v>
      </c>
      <c r="B471" s="167" t="str">
        <f>IFERROR(__xludf.DUMMYFUNCTION("GOOGLEFINANCE(A471,""Name"")"),"#N/A")</f>
        <v>#N/A</v>
      </c>
      <c r="C471" s="167" t="s">
        <v>544</v>
      </c>
      <c r="D471" s="167" t="s">
        <v>875</v>
      </c>
      <c r="E471" s="167" t="s">
        <v>1014</v>
      </c>
      <c r="F471" s="167" t="s">
        <v>1014</v>
      </c>
      <c r="G471" s="167" t="s">
        <v>131</v>
      </c>
    </row>
    <row r="472">
      <c r="A472" s="167" t="s">
        <v>1018</v>
      </c>
      <c r="B472" s="167" t="str">
        <f>IFERROR(__xludf.DUMMYFUNCTION("GOOGLEFINANCE(A472,""Name"")"),"#N/A")</f>
        <v>#N/A</v>
      </c>
      <c r="C472" s="167" t="s">
        <v>1019</v>
      </c>
      <c r="D472" s="167" t="s">
        <v>1020</v>
      </c>
      <c r="E472" s="167" t="s">
        <v>1020</v>
      </c>
      <c r="F472" s="167" t="s">
        <v>1020</v>
      </c>
      <c r="G472" s="167" t="s">
        <v>131</v>
      </c>
    </row>
    <row r="473">
      <c r="A473" s="167" t="s">
        <v>1021</v>
      </c>
      <c r="B473" s="167" t="str">
        <f>IFERROR(__xludf.DUMMYFUNCTION("GOOGLEFINANCE(A473,""Name"")"),"#N/A")</f>
        <v>#N/A</v>
      </c>
      <c r="C473" s="167" t="s">
        <v>1022</v>
      </c>
      <c r="D473" s="167" t="s">
        <v>1020</v>
      </c>
      <c r="E473" s="167" t="s">
        <v>1020</v>
      </c>
      <c r="F473" s="167" t="s">
        <v>1020</v>
      </c>
      <c r="G473" s="167" t="s">
        <v>131</v>
      </c>
    </row>
    <row r="474">
      <c r="A474" s="167" t="s">
        <v>1023</v>
      </c>
      <c r="B474" s="167" t="str">
        <f>IFERROR(__xludf.DUMMYFUNCTION("GOOGLEFINANCE(A474,""Name"")"),"#N/A")</f>
        <v>#N/A</v>
      </c>
      <c r="C474" s="167" t="s">
        <v>1024</v>
      </c>
      <c r="D474" s="167" t="s">
        <v>1020</v>
      </c>
      <c r="E474" s="167" t="s">
        <v>1020</v>
      </c>
      <c r="F474" s="167" t="s">
        <v>1020</v>
      </c>
      <c r="G474" s="167" t="s">
        <v>131</v>
      </c>
    </row>
    <row r="475">
      <c r="A475" s="167" t="s">
        <v>1025</v>
      </c>
      <c r="B475" s="167" t="str">
        <f>IFERROR(__xludf.DUMMYFUNCTION("GOOGLEFINANCE(A475,""Name"")"),"#N/A")</f>
        <v>#N/A</v>
      </c>
      <c r="C475" s="167" t="s">
        <v>1026</v>
      </c>
      <c r="D475" s="167" t="s">
        <v>1020</v>
      </c>
      <c r="E475" s="167" t="s">
        <v>1020</v>
      </c>
      <c r="F475" s="167" t="s">
        <v>1020</v>
      </c>
      <c r="G475" s="167" t="s">
        <v>131</v>
      </c>
    </row>
    <row r="476">
      <c r="A476" s="167" t="s">
        <v>1027</v>
      </c>
      <c r="B476" s="167" t="str">
        <f>IFERROR(__xludf.DUMMYFUNCTION("GOOGLEFINANCE(A476,""Name"")"),"#N/A")</f>
        <v>#N/A</v>
      </c>
      <c r="C476" s="167" t="s">
        <v>1028</v>
      </c>
      <c r="D476" s="167" t="s">
        <v>1020</v>
      </c>
      <c r="E476" s="167" t="s">
        <v>1020</v>
      </c>
      <c r="F476" s="167" t="s">
        <v>1020</v>
      </c>
      <c r="G476" s="167" t="s">
        <v>131</v>
      </c>
    </row>
    <row r="477">
      <c r="A477" s="167" t="s">
        <v>1029</v>
      </c>
      <c r="B477" s="167" t="str">
        <f>IFERROR(__xludf.DUMMYFUNCTION("GOOGLEFINANCE(A477,""Name"")"),"#N/A")</f>
        <v>#N/A</v>
      </c>
      <c r="C477" s="167" t="s">
        <v>1030</v>
      </c>
      <c r="D477" s="167" t="s">
        <v>1020</v>
      </c>
      <c r="E477" s="167" t="s">
        <v>1020</v>
      </c>
      <c r="F477" s="167" t="s">
        <v>1020</v>
      </c>
      <c r="G477" s="167" t="s">
        <v>131</v>
      </c>
    </row>
    <row r="478">
      <c r="A478" s="167" t="s">
        <v>1031</v>
      </c>
      <c r="B478" s="167" t="str">
        <f>IFERROR(__xludf.DUMMYFUNCTION("GOOGLEFINANCE(A478,""Name"")"),"Cemepe Investimentos SA")</f>
        <v>Cemepe Investimentos SA</v>
      </c>
      <c r="C478" s="167" t="s">
        <v>1032</v>
      </c>
      <c r="D478" s="167" t="s">
        <v>1020</v>
      </c>
      <c r="E478" s="167" t="s">
        <v>1020</v>
      </c>
      <c r="F478" s="167" t="s">
        <v>1020</v>
      </c>
      <c r="G478" s="167" t="s">
        <v>131</v>
      </c>
    </row>
    <row r="479">
      <c r="A479" s="167" t="s">
        <v>1033</v>
      </c>
      <c r="B479" s="167" t="str">
        <f>IFERROR(__xludf.DUMMYFUNCTION("GOOGLEFINANCE(A479,""Name"")"),"Cemepe Investimentos SA Preference Shares")</f>
        <v>Cemepe Investimentos SA Preference Shares</v>
      </c>
      <c r="C479" s="167" t="s">
        <v>1032</v>
      </c>
      <c r="D479" s="167" t="s">
        <v>1020</v>
      </c>
      <c r="E479" s="167" t="s">
        <v>1020</v>
      </c>
      <c r="F479" s="167" t="s">
        <v>1020</v>
      </c>
      <c r="G479" s="167" t="s">
        <v>131</v>
      </c>
    </row>
    <row r="480">
      <c r="A480" s="167" t="s">
        <v>1034</v>
      </c>
      <c r="B480" s="167" t="str">
        <f>IFERROR(__xludf.DUMMYFUNCTION("GOOGLEFINANCE(A480,""Name"")"),"#N/A")</f>
        <v>#N/A</v>
      </c>
      <c r="C480" s="167" t="s">
        <v>1035</v>
      </c>
      <c r="D480" s="167" t="s">
        <v>1020</v>
      </c>
      <c r="E480" s="167" t="s">
        <v>1020</v>
      </c>
      <c r="F480" s="167" t="s">
        <v>1020</v>
      </c>
      <c r="G480" s="167" t="s">
        <v>131</v>
      </c>
    </row>
    <row r="481">
      <c r="A481" s="167" t="s">
        <v>1036</v>
      </c>
      <c r="B481" s="167" t="str">
        <f>IFERROR(__xludf.DUMMYFUNCTION("GOOGLEFINANCE(A481,""Name"")"),"#N/A")</f>
        <v>#N/A</v>
      </c>
      <c r="C481" s="167" t="s">
        <v>1037</v>
      </c>
      <c r="D481" s="167" t="s">
        <v>1020</v>
      </c>
      <c r="E481" s="167" t="s">
        <v>1020</v>
      </c>
      <c r="F481" s="167" t="s">
        <v>1020</v>
      </c>
      <c r="G481" s="167" t="s">
        <v>131</v>
      </c>
    </row>
    <row r="482">
      <c r="A482" s="167" t="s">
        <v>1038</v>
      </c>
      <c r="B482" s="167" t="str">
        <f>IFERROR(__xludf.DUMMYFUNCTION("GOOGLEFINANCE(A482,""Name"")"),"#N/A")</f>
        <v>#N/A</v>
      </c>
      <c r="C482" s="167" t="s">
        <v>1037</v>
      </c>
      <c r="D482" s="167" t="s">
        <v>1020</v>
      </c>
      <c r="E482" s="167" t="s">
        <v>1020</v>
      </c>
      <c r="F482" s="167" t="s">
        <v>1020</v>
      </c>
      <c r="G482" s="167" t="s">
        <v>131</v>
      </c>
    </row>
    <row r="483">
      <c r="A483" s="167" t="s">
        <v>1039</v>
      </c>
      <c r="B483" s="167" t="str">
        <f>IFERROR(__xludf.DUMMYFUNCTION("GOOGLEFINANCE(A483,""Name"")"),"#N/A")</f>
        <v>#N/A</v>
      </c>
      <c r="C483" s="167" t="s">
        <v>1040</v>
      </c>
      <c r="D483" s="167" t="s">
        <v>1020</v>
      </c>
      <c r="E483" s="167" t="s">
        <v>1020</v>
      </c>
      <c r="F483" s="167" t="s">
        <v>1020</v>
      </c>
      <c r="G483" s="167" t="s">
        <v>131</v>
      </c>
    </row>
    <row r="484">
      <c r="A484" s="167" t="s">
        <v>1041</v>
      </c>
      <c r="B484" s="167" t="str">
        <f>IFERROR(__xludf.DUMMYFUNCTION("GOOGLEFINANCE(A484,""Name"")"),"#N/A")</f>
        <v>#N/A</v>
      </c>
      <c r="C484" s="167" t="s">
        <v>1042</v>
      </c>
      <c r="D484" s="167" t="s">
        <v>1020</v>
      </c>
      <c r="E484" s="167" t="s">
        <v>1020</v>
      </c>
      <c r="F484" s="167" t="s">
        <v>1020</v>
      </c>
      <c r="G484" s="167" t="s">
        <v>131</v>
      </c>
    </row>
    <row r="485">
      <c r="A485" s="167" t="s">
        <v>1043</v>
      </c>
      <c r="B485" s="167" t="str">
        <f>IFERROR(__xludf.DUMMYFUNCTION("GOOGLEFINANCE(A485,""Name"")"),"#N/A")</f>
        <v>#N/A</v>
      </c>
      <c r="C485" s="167" t="s">
        <v>1044</v>
      </c>
      <c r="D485" s="167" t="s">
        <v>1020</v>
      </c>
      <c r="E485" s="167" t="s">
        <v>1020</v>
      </c>
      <c r="F485" s="167" t="s">
        <v>1020</v>
      </c>
      <c r="G485" s="167" t="s">
        <v>131</v>
      </c>
    </row>
    <row r="486">
      <c r="A486" s="167" t="s">
        <v>1045</v>
      </c>
      <c r="B486" s="167" t="str">
        <f>IFERROR(__xludf.DUMMYFUNCTION("GOOGLEFINANCE(A486,""Name"")"),"#N/A")</f>
        <v>#N/A</v>
      </c>
      <c r="C486" s="167" t="s">
        <v>1046</v>
      </c>
      <c r="D486" s="167" t="s">
        <v>1020</v>
      </c>
      <c r="E486" s="167" t="s">
        <v>1020</v>
      </c>
      <c r="F486" s="167" t="s">
        <v>1020</v>
      </c>
      <c r="G486" s="167" t="s">
        <v>131</v>
      </c>
    </row>
    <row r="487">
      <c r="A487" s="167" t="s">
        <v>1047</v>
      </c>
      <c r="B487" s="167" t="str">
        <f>IFERROR(__xludf.DUMMYFUNCTION("GOOGLEFINANCE(A487,""Name"")"),"Hidrovias do Brasil SA")</f>
        <v>Hidrovias do Brasil SA</v>
      </c>
      <c r="C487" s="167" t="s">
        <v>1048</v>
      </c>
      <c r="D487" s="167" t="s">
        <v>277</v>
      </c>
      <c r="E487" s="167" t="s">
        <v>382</v>
      </c>
      <c r="F487" s="167" t="s">
        <v>382</v>
      </c>
      <c r="G487" s="167" t="s">
        <v>131</v>
      </c>
    </row>
    <row r="488">
      <c r="A488" s="167" t="s">
        <v>770</v>
      </c>
      <c r="B488" s="167" t="str">
        <f>IFERROR(__xludf.DUMMYFUNCTION("GOOGLEFINANCE(A488,""Name"")"),"#N/A")</f>
        <v>#N/A</v>
      </c>
      <c r="C488" s="167" t="s">
        <v>771</v>
      </c>
      <c r="D488" s="167" t="s">
        <v>748</v>
      </c>
      <c r="E488" s="167" t="s">
        <v>235</v>
      </c>
      <c r="F488" s="167" t="s">
        <v>235</v>
      </c>
      <c r="G488" s="167" t="s">
        <v>131</v>
      </c>
    </row>
    <row r="489">
      <c r="A489" s="167" t="s">
        <v>772</v>
      </c>
      <c r="B489" s="167" t="str">
        <f>IFERROR(__xludf.DUMMYFUNCTION("GOOGLEFINANCE(A489,""Name"")"),"#N/A")</f>
        <v>#N/A</v>
      </c>
      <c r="C489" s="167" t="s">
        <v>771</v>
      </c>
      <c r="D489" s="167" t="s">
        <v>748</v>
      </c>
      <c r="E489" s="167" t="s">
        <v>235</v>
      </c>
      <c r="F489" s="167" t="s">
        <v>235</v>
      </c>
      <c r="G489" s="167" t="s">
        <v>131</v>
      </c>
    </row>
    <row r="490">
      <c r="A490" s="167" t="s">
        <v>773</v>
      </c>
      <c r="B490" s="167" t="str">
        <f>IFERROR(__xludf.DUMMYFUNCTION("GOOGLEFINANCE(A490,""Name"")"),"#N/A")</f>
        <v>#N/A</v>
      </c>
      <c r="C490" s="167" t="s">
        <v>771</v>
      </c>
      <c r="D490" s="167" t="s">
        <v>748</v>
      </c>
      <c r="E490" s="167" t="s">
        <v>235</v>
      </c>
      <c r="F490" s="167" t="s">
        <v>235</v>
      </c>
      <c r="G490" s="167" t="s">
        <v>131</v>
      </c>
    </row>
    <row r="491">
      <c r="A491" s="167" t="s">
        <v>1049</v>
      </c>
      <c r="B491" s="167" t="str">
        <f>IFERROR(__xludf.DUMMYFUNCTION("GOOGLEFINANCE(A491,""Name"")"),"Allpark Empreendimentos Prtcpcs Srvcs SA")</f>
        <v>Allpark Empreendimentos Prtcpcs Srvcs SA</v>
      </c>
      <c r="C491" s="167" t="s">
        <v>1050</v>
      </c>
      <c r="D491" s="167" t="s">
        <v>277</v>
      </c>
      <c r="E491" s="167" t="s">
        <v>1051</v>
      </c>
      <c r="F491" s="167" t="s">
        <v>299</v>
      </c>
      <c r="G491" s="167" t="s">
        <v>131</v>
      </c>
    </row>
    <row r="492">
      <c r="A492" s="167" t="s">
        <v>1052</v>
      </c>
      <c r="B492" s="167" t="str">
        <f>IFERROR(__xludf.DUMMYFUNCTION("GOOGLEFINANCE(A492,""Name"")"),"Lavvi Empreendimentos Imobiliarios S/A")</f>
        <v>Lavvi Empreendimentos Imobiliarios S/A</v>
      </c>
      <c r="C492" s="167" t="s">
        <v>1053</v>
      </c>
      <c r="D492" s="167" t="s">
        <v>481</v>
      </c>
      <c r="E492" s="167" t="s">
        <v>482</v>
      </c>
      <c r="F492" s="167" t="s">
        <v>483</v>
      </c>
      <c r="G492" s="167" t="s">
        <v>131</v>
      </c>
    </row>
    <row r="493">
      <c r="A493" s="167" t="s">
        <v>1054</v>
      </c>
      <c r="B493" s="167" t="str">
        <f>IFERROR(__xludf.DUMMYFUNCTION("GOOGLEFINANCE(A493,""Name"")"),"Plano &amp; Plano Desenvolvimento Imblr SA")</f>
        <v>Plano &amp; Plano Desenvolvimento Imblr SA</v>
      </c>
      <c r="C493" s="167" t="s">
        <v>1055</v>
      </c>
      <c r="D493" s="167" t="s">
        <v>481</v>
      </c>
      <c r="E493" s="167" t="s">
        <v>482</v>
      </c>
      <c r="F493" s="167" t="s">
        <v>483</v>
      </c>
      <c r="G493" s="167" t="s">
        <v>131</v>
      </c>
    </row>
    <row r="494">
      <c r="A494" s="167" t="s">
        <v>1056</v>
      </c>
      <c r="B494" s="167" t="str">
        <f>IFERROR(__xludf.DUMMYFUNCTION("GOOGLEFINANCE(A494,""Name"")"),"Melnick Desenvolvimento Imobiliario SA")</f>
        <v>Melnick Desenvolvimento Imobiliario SA</v>
      </c>
      <c r="C494" s="167" t="s">
        <v>1057</v>
      </c>
      <c r="D494" s="167" t="s">
        <v>481</v>
      </c>
      <c r="E494" s="167" t="s">
        <v>482</v>
      </c>
      <c r="F494" s="167" t="s">
        <v>483</v>
      </c>
      <c r="G494" s="167" t="s">
        <v>131</v>
      </c>
    </row>
    <row r="495">
      <c r="A495" s="167" t="s">
        <v>1047</v>
      </c>
      <c r="B495" s="167" t="str">
        <f>IFERROR(__xludf.DUMMYFUNCTION("GOOGLEFINANCE(A495,""Name"")"),"Hidrovias do Brasil SA")</f>
        <v>Hidrovias do Brasil SA</v>
      </c>
      <c r="C495" s="167" t="s">
        <v>1048</v>
      </c>
      <c r="D495" s="167" t="s">
        <v>277</v>
      </c>
      <c r="E495" s="167" t="s">
        <v>360</v>
      </c>
      <c r="F495" s="167" t="s">
        <v>382</v>
      </c>
      <c r="G495" s="167" t="s">
        <v>131</v>
      </c>
    </row>
    <row r="496">
      <c r="A496" s="167" t="s">
        <v>1058</v>
      </c>
      <c r="B496" s="167" t="str">
        <f>IFERROR(__xludf.DUMMYFUNCTION("GOOGLEFINANCE(A496,""Name"")"),"Cury Construtora E Incorporadora SA")</f>
        <v>Cury Construtora E Incorporadora SA</v>
      </c>
      <c r="C496" s="167" t="s">
        <v>1059</v>
      </c>
      <c r="D496" s="167" t="s">
        <v>481</v>
      </c>
      <c r="E496" s="167" t="s">
        <v>482</v>
      </c>
      <c r="F496" s="167" t="s">
        <v>483</v>
      </c>
      <c r="G496" s="167" t="s">
        <v>131</v>
      </c>
    </row>
    <row r="497">
      <c r="A497" s="167" t="s">
        <v>1060</v>
      </c>
      <c r="B497" s="167" t="str">
        <f>IFERROR(__xludf.DUMMYFUNCTION("GOOGLEFINANCE(A497,""Name"")"),"#N/A")</f>
        <v>#N/A</v>
      </c>
      <c r="C497" s="167" t="s">
        <v>1061</v>
      </c>
      <c r="D497" s="167" t="s">
        <v>875</v>
      </c>
      <c r="E497" s="167" t="s">
        <v>257</v>
      </c>
      <c r="F497" s="167" t="s">
        <v>257</v>
      </c>
      <c r="G497" s="167" t="s">
        <v>131</v>
      </c>
    </row>
    <row r="498">
      <c r="A498" s="167" t="s">
        <v>1062</v>
      </c>
      <c r="B498" s="167" t="str">
        <f>IFERROR(__xludf.DUMMYFUNCTION("GOOGLEFINANCE(A498,""Name"")"),"Sequoia Logistica e Transportes SA")</f>
        <v>Sequoia Logistica e Transportes SA</v>
      </c>
      <c r="C498" s="167" t="s">
        <v>1063</v>
      </c>
      <c r="D498" s="167" t="s">
        <v>277</v>
      </c>
      <c r="E498" s="167" t="s">
        <v>1051</v>
      </c>
      <c r="F498" s="167" t="s">
        <v>1064</v>
      </c>
      <c r="G498" s="167" t="s">
        <v>131</v>
      </c>
    </row>
    <row r="499">
      <c r="A499" s="167" t="s">
        <v>1065</v>
      </c>
      <c r="B499" s="167" t="str">
        <f>IFERROR(__xludf.DUMMYFUNCTION("GOOGLEFINANCE(A499,""Name"")"),"Grupo Mateus SA")</f>
        <v>Grupo Mateus SA</v>
      </c>
      <c r="C499" s="167" t="s">
        <v>1066</v>
      </c>
      <c r="D499" s="167" t="s">
        <v>427</v>
      </c>
      <c r="E499" s="167" t="s">
        <v>475</v>
      </c>
      <c r="F499" s="167" t="s">
        <v>476</v>
      </c>
      <c r="G499" s="167" t="s">
        <v>131</v>
      </c>
    </row>
    <row r="500">
      <c r="A500" s="167" t="s">
        <v>1067</v>
      </c>
      <c r="B500" s="167" t="str">
        <f>IFERROR(__xludf.DUMMYFUNCTION("GOOGLEFINANCE(A500,""Name"")"),"#N/A")</f>
        <v>#N/A</v>
      </c>
      <c r="C500" s="167" t="s">
        <v>1068</v>
      </c>
      <c r="D500" s="167" t="s">
        <v>481</v>
      </c>
      <c r="E500" s="167" t="s">
        <v>421</v>
      </c>
      <c r="F500" s="167" t="s">
        <v>664</v>
      </c>
      <c r="G500" s="167" t="s">
        <v>131</v>
      </c>
    </row>
    <row r="501">
      <c r="A501" s="167" t="s">
        <v>1069</v>
      </c>
      <c r="B501" s="167" t="str">
        <f>IFERROR(__xludf.DUMMYFUNCTION("GOOGLEFINANCE(A501,""Name"")"),"Ambipar Participacoes e Empreendmnts SA")</f>
        <v>Ambipar Participacoes e Empreendmnts SA</v>
      </c>
      <c r="C501" s="167" t="s">
        <v>1070</v>
      </c>
      <c r="D501" s="167" t="s">
        <v>748</v>
      </c>
      <c r="E501" s="167" t="s">
        <v>1071</v>
      </c>
      <c r="F501" s="167" t="s">
        <v>1071</v>
      </c>
      <c r="G501" s="167" t="s">
        <v>131</v>
      </c>
    </row>
    <row r="502">
      <c r="A502" s="167" t="s">
        <v>1072</v>
      </c>
      <c r="B502" s="167" t="str">
        <f>IFERROR(__xludf.DUMMYFUNCTION("GOOGLEFINANCE(A502,""Name"")"),"D1000 Varejo Farma Participacoes SA")</f>
        <v>D1000 Varejo Farma Participacoes SA</v>
      </c>
      <c r="C502" s="167" t="s">
        <v>1073</v>
      </c>
      <c r="D502" s="167" t="s">
        <v>675</v>
      </c>
      <c r="E502" s="167" t="s">
        <v>475</v>
      </c>
      <c r="F502" s="167" t="s">
        <v>245</v>
      </c>
      <c r="G502" s="167" t="s">
        <v>131</v>
      </c>
    </row>
    <row r="503">
      <c r="A503" s="167" t="s">
        <v>1074</v>
      </c>
      <c r="B503" s="167" t="str">
        <f>IFERROR(__xludf.DUMMYFUNCTION("GOOGLEFINANCE(A503,""Name"")"),"#N/A")</f>
        <v>#N/A</v>
      </c>
      <c r="C503" s="167" t="s">
        <v>1075</v>
      </c>
      <c r="D503" s="167" t="s">
        <v>481</v>
      </c>
      <c r="E503" s="167" t="s">
        <v>421</v>
      </c>
      <c r="F503" s="167" t="s">
        <v>1076</v>
      </c>
      <c r="G503" s="167" t="s">
        <v>131</v>
      </c>
    </row>
    <row r="504">
      <c r="A504" s="167" t="s">
        <v>1077</v>
      </c>
      <c r="B504" s="167" t="str">
        <f>IFERROR(__xludf.DUMMYFUNCTION("GOOGLEFINANCE(A504,""Name"")"),"Lojas Quero-Quero SA")</f>
        <v>Lojas Quero-Quero SA</v>
      </c>
      <c r="C504" s="167" t="s">
        <v>1078</v>
      </c>
      <c r="D504" s="167" t="s">
        <v>481</v>
      </c>
      <c r="E504" s="167" t="s">
        <v>421</v>
      </c>
      <c r="F504" s="167" t="s">
        <v>664</v>
      </c>
      <c r="G504" s="167" t="s">
        <v>131</v>
      </c>
    </row>
    <row r="505">
      <c r="A505" s="167" t="s">
        <v>1079</v>
      </c>
      <c r="B505" s="167" t="str">
        <f>IFERROR(__xludf.DUMMYFUNCTION("GOOGLEFINANCE(A505,""Name"")"),"Empreendimentos Pague Menos SA")</f>
        <v>Empreendimentos Pague Menos SA</v>
      </c>
      <c r="C505" s="167" t="s">
        <v>1080</v>
      </c>
      <c r="D505" s="167" t="s">
        <v>675</v>
      </c>
      <c r="E505" s="167" t="s">
        <v>475</v>
      </c>
      <c r="F505" s="167" t="s">
        <v>245</v>
      </c>
      <c r="G505" s="167" t="s">
        <v>131</v>
      </c>
    </row>
    <row r="506">
      <c r="A506" s="167" t="s">
        <v>1081</v>
      </c>
      <c r="B506" s="167" t="str">
        <f>IFERROR(__xludf.DUMMYFUNCTION("GOOGLEFINANCE(A506,""Name"")"),"Aeris ndstr  Cmrc d qpmnts pr Grc d nrg")</f>
        <v>Aeris ndstr  Cmrc d qpmnts pr Grc d nrg</v>
      </c>
      <c r="C506" s="167" t="s">
        <v>1082</v>
      </c>
      <c r="D506" s="167" t="s">
        <v>277</v>
      </c>
      <c r="E506" s="167" t="s">
        <v>326</v>
      </c>
      <c r="F506" s="167" t="s">
        <v>330</v>
      </c>
      <c r="G506" s="167" t="s">
        <v>131</v>
      </c>
    </row>
    <row r="507">
      <c r="A507" s="167" t="s">
        <v>1083</v>
      </c>
      <c r="B507" s="167" t="str">
        <f>IFERROR(__xludf.DUMMYFUNCTION("GOOGLEFINANCE(A507,""Name"")"),"Enjoei SA")</f>
        <v>Enjoei SA</v>
      </c>
      <c r="C507" s="167" t="s">
        <v>1084</v>
      </c>
      <c r="D507" s="167" t="s">
        <v>715</v>
      </c>
      <c r="E507" s="167" t="s">
        <v>719</v>
      </c>
      <c r="F507" s="167" t="s">
        <v>1085</v>
      </c>
      <c r="G507" s="167" t="s">
        <v>131</v>
      </c>
    </row>
    <row r="508">
      <c r="A508" s="167" t="s">
        <v>1086</v>
      </c>
      <c r="B508" s="167" t="str">
        <f>IFERROR(__xludf.DUMMYFUNCTION("GOOGLEFINANCE(A508,""Name"")"),"Meliuz SA")</f>
        <v>Meliuz SA</v>
      </c>
      <c r="C508" s="167" t="s">
        <v>1087</v>
      </c>
      <c r="D508" s="167" t="s">
        <v>715</v>
      </c>
      <c r="E508" s="167" t="s">
        <v>719</v>
      </c>
      <c r="F508" s="167" t="s">
        <v>719</v>
      </c>
      <c r="G508" s="167" t="s">
        <v>131</v>
      </c>
    </row>
    <row r="509">
      <c r="A509" s="167" t="s">
        <v>1088</v>
      </c>
      <c r="B509" s="167" t="str">
        <f>IFERROR(__xludf.DUMMYFUNCTION("GOOGLEFINANCE(A509,""Name"")"),"#N/A")</f>
        <v>#N/A</v>
      </c>
      <c r="C509" s="167" t="s">
        <v>1089</v>
      </c>
      <c r="D509" s="167" t="s">
        <v>715</v>
      </c>
      <c r="E509" s="167" t="s">
        <v>719</v>
      </c>
      <c r="F509" s="167" t="s">
        <v>719</v>
      </c>
      <c r="G509" s="167" t="s">
        <v>131</v>
      </c>
    </row>
    <row r="510">
      <c r="A510" s="167" t="s">
        <v>1090</v>
      </c>
      <c r="B510" s="167" t="str">
        <f>IFERROR(__xludf.DUMMYFUNCTION("GOOGLEFINANCE(A510,""Name"")"),"Rede D'Or Sao Luiz SA")</f>
        <v>Rede D'Or Sao Luiz SA</v>
      </c>
      <c r="C510" s="167" t="s">
        <v>1091</v>
      </c>
      <c r="D510" s="167" t="s">
        <v>675</v>
      </c>
      <c r="E510" s="167" t="s">
        <v>1092</v>
      </c>
      <c r="F510" s="167" t="s">
        <v>1092</v>
      </c>
      <c r="G510" s="167" t="s">
        <v>131</v>
      </c>
    </row>
    <row r="511">
      <c r="A511" s="167" t="s">
        <v>1093</v>
      </c>
      <c r="B511" s="167" t="str">
        <f>IFERROR(__xludf.DUMMYFUNCTION("GOOGLEFINANCE(A511,""Name"")"),"#N/A")</f>
        <v>#N/A</v>
      </c>
      <c r="C511" s="167" t="s">
        <v>1094</v>
      </c>
      <c r="D511" s="167" t="s">
        <v>1095</v>
      </c>
      <c r="E511" s="167" t="s">
        <v>1095</v>
      </c>
      <c r="F511" s="167" t="s">
        <v>1096</v>
      </c>
      <c r="G511" s="167" t="s">
        <v>131</v>
      </c>
    </row>
    <row r="512">
      <c r="A512" s="167" t="s">
        <v>1097</v>
      </c>
      <c r="B512" s="167" t="str">
        <f>IFERROR(__xludf.DUMMYFUNCTION("GOOGLEFINANCE(A512,""Name"")"),"Track &amp; Field SA Co")</f>
        <v>Track &amp; Field SA Co</v>
      </c>
      <c r="C512" s="167" t="s">
        <v>1098</v>
      </c>
      <c r="D512" s="167" t="s">
        <v>1099</v>
      </c>
      <c r="E512" s="167" t="s">
        <v>1076</v>
      </c>
      <c r="F512" s="167" t="s">
        <v>1100</v>
      </c>
      <c r="G512" s="167" t="s">
        <v>131</v>
      </c>
    </row>
    <row r="513">
      <c r="A513" s="167" t="s">
        <v>1101</v>
      </c>
      <c r="B513" s="167" t="str">
        <f>IFERROR(__xludf.DUMMYFUNCTION("GOOGLEFINANCE(A513,""Name"")"),"MPM Corporeos SA")</f>
        <v>MPM Corporeos SA</v>
      </c>
      <c r="C513" s="167" t="s">
        <v>1102</v>
      </c>
      <c r="D513" s="167" t="s">
        <v>481</v>
      </c>
      <c r="E513" s="167" t="s">
        <v>421</v>
      </c>
      <c r="F513" s="167" t="s">
        <v>1103</v>
      </c>
      <c r="G513" s="167" t="s">
        <v>131</v>
      </c>
    </row>
    <row r="514">
      <c r="A514" s="167" t="s">
        <v>1104</v>
      </c>
      <c r="B514" s="167" t="str">
        <f>IFERROR(__xludf.DUMMYFUNCTION("GOOGLEFINANCE(A514,""Name"")"),"Vamos Locacao de Camhs Mqns e Eqpmnts SA")</f>
        <v>Vamos Locacao de Camhs Mqns e Eqpmnts SA</v>
      </c>
      <c r="C514" s="167" t="s">
        <v>1105</v>
      </c>
      <c r="D514" s="167" t="s">
        <v>1099</v>
      </c>
      <c r="E514" s="167" t="s">
        <v>621</v>
      </c>
      <c r="F514" s="167" t="s">
        <v>633</v>
      </c>
      <c r="G514" s="167" t="s">
        <v>131</v>
      </c>
    </row>
    <row r="515">
      <c r="A515" s="167" t="s">
        <v>1106</v>
      </c>
      <c r="B515" s="167" t="str">
        <f>IFERROR(__xludf.DUMMYFUNCTION("GOOGLEFINANCE(A515,""Name"")"),"Intelbras SA IndustrdTlcmnccEltrncBrslr")</f>
        <v>Intelbras SA IndustrdTlcmnccEltrncBrslr</v>
      </c>
      <c r="C515" s="167" t="s">
        <v>1107</v>
      </c>
      <c r="D515" s="167" t="s">
        <v>715</v>
      </c>
      <c r="E515" s="167" t="s">
        <v>716</v>
      </c>
      <c r="F515" s="167" t="s">
        <v>716</v>
      </c>
      <c r="G515" s="167" t="s">
        <v>131</v>
      </c>
    </row>
    <row r="516">
      <c r="A516" s="167" t="s">
        <v>1108</v>
      </c>
      <c r="B516" s="167" t="str">
        <f>IFERROR(__xludf.DUMMYFUNCTION("GOOGLEFINANCE(A516,""Name"")"),"#N/A")</f>
        <v>#N/A</v>
      </c>
      <c r="C516" s="167" t="s">
        <v>1109</v>
      </c>
      <c r="D516" s="167" t="s">
        <v>715</v>
      </c>
      <c r="E516" s="167" t="s">
        <v>719</v>
      </c>
      <c r="F516" s="167" t="s">
        <v>719</v>
      </c>
      <c r="G516" s="167" t="s">
        <v>131</v>
      </c>
    </row>
    <row r="517">
      <c r="A517" s="167" t="s">
        <v>1110</v>
      </c>
      <c r="B517" s="167" t="str">
        <f>IFERROR(__xludf.DUMMYFUNCTION("GOOGLEFINANCE(A517,""Name"")"),"#N/A")</f>
        <v>#N/A</v>
      </c>
      <c r="C517" s="167" t="s">
        <v>1111</v>
      </c>
      <c r="D517" s="167" t="s">
        <v>715</v>
      </c>
      <c r="E517" s="167" t="s">
        <v>719</v>
      </c>
      <c r="F517" s="167" t="s">
        <v>1112</v>
      </c>
      <c r="G517" s="167" t="s">
        <v>131</v>
      </c>
    </row>
    <row r="518">
      <c r="A518" s="167" t="s">
        <v>1113</v>
      </c>
      <c r="B518" s="167" t="str">
        <f>IFERROR(__xludf.DUMMYFUNCTION("GOOGLEFINANCE(A518,""Name"")"),"#N/A")</f>
        <v>#N/A</v>
      </c>
      <c r="C518" s="167" t="s">
        <v>1114</v>
      </c>
      <c r="D518" s="167" t="s">
        <v>748</v>
      </c>
      <c r="E518" s="167" t="s">
        <v>235</v>
      </c>
      <c r="F518" s="167" t="s">
        <v>235</v>
      </c>
      <c r="G518" s="167" t="s">
        <v>131</v>
      </c>
    </row>
    <row r="519">
      <c r="A519" s="167" t="s">
        <v>1115</v>
      </c>
      <c r="B519" s="167" t="str">
        <f>IFERROR(__xludf.DUMMYFUNCTION("GOOGLEFINANCE(A519,""Name"")"),"Jalles Machado SA")</f>
        <v>Jalles Machado SA</v>
      </c>
      <c r="C519" s="167" t="s">
        <v>1116</v>
      </c>
      <c r="D519" s="167" t="s">
        <v>427</v>
      </c>
      <c r="E519" s="167" t="s">
        <v>438</v>
      </c>
      <c r="F519" s="167" t="s">
        <v>439</v>
      </c>
      <c r="G519" s="167" t="s">
        <v>131</v>
      </c>
    </row>
    <row r="520">
      <c r="A520" s="167" t="s">
        <v>1117</v>
      </c>
      <c r="B520" s="167" t="str">
        <f>IFERROR(__xludf.DUMMYFUNCTION("GOOGLEFINANCE(A520,""Name"")"),"Bemobi Mobile Tech SA")</f>
        <v>Bemobi Mobile Tech SA</v>
      </c>
      <c r="C520" s="167" t="s">
        <v>1118</v>
      </c>
      <c r="D520" s="167" t="s">
        <v>715</v>
      </c>
      <c r="E520" s="167" t="s">
        <v>719</v>
      </c>
      <c r="F520" s="167" t="s">
        <v>719</v>
      </c>
      <c r="G520" s="167" t="s">
        <v>131</v>
      </c>
    </row>
    <row r="521">
      <c r="A521" s="167" t="s">
        <v>1119</v>
      </c>
      <c r="B521" s="167" t="str">
        <f>IFERROR(__xludf.DUMMYFUNCTION("GOOGLEFINANCE(A521,""Name"")"),"Cruzeiro do Sul Educacional SA")</f>
        <v>Cruzeiro do Sul Educacional SA</v>
      </c>
      <c r="C521" s="167" t="s">
        <v>1120</v>
      </c>
      <c r="D521" s="167" t="s">
        <v>1121</v>
      </c>
      <c r="E521" s="167" t="s">
        <v>621</v>
      </c>
      <c r="F521" s="167" t="s">
        <v>622</v>
      </c>
      <c r="G521" s="167" t="s">
        <v>131</v>
      </c>
    </row>
    <row r="522">
      <c r="A522" s="167" t="s">
        <v>1122</v>
      </c>
      <c r="B522" s="167" t="str">
        <f>IFERROR(__xludf.DUMMYFUNCTION("GOOGLEFINANCE(A522,""Name"")"),"HBR Realty Empreendimentos Imobiliars SA")</f>
        <v>HBR Realty Empreendimentos Imobiliars SA</v>
      </c>
      <c r="C522" s="167" t="s">
        <v>1123</v>
      </c>
      <c r="D522" s="167" t="s">
        <v>875</v>
      </c>
      <c r="E522" s="167" t="s">
        <v>980</v>
      </c>
      <c r="F522" s="167" t="s">
        <v>980</v>
      </c>
      <c r="G522" s="167" t="s">
        <v>131</v>
      </c>
    </row>
    <row r="523">
      <c r="A523" s="167" t="s">
        <v>1124</v>
      </c>
      <c r="B523" s="167" t="str">
        <f>IFERROR(__xludf.DUMMYFUNCTION("GOOGLEFINANCE(A523,""Name"")"),"Oceanpact Servicos Maritimos Sa")</f>
        <v>Oceanpact Servicos Maritimos Sa</v>
      </c>
      <c r="C523" s="167" t="s">
        <v>1125</v>
      </c>
      <c r="D523" s="167" t="s">
        <v>1095</v>
      </c>
      <c r="E523" s="167" t="s">
        <v>1095</v>
      </c>
      <c r="F523" s="167" t="s">
        <v>153</v>
      </c>
      <c r="G523" s="167" t="s">
        <v>131</v>
      </c>
    </row>
    <row r="524">
      <c r="A524" s="167" t="s">
        <v>1126</v>
      </c>
      <c r="B524" s="167" t="str">
        <f>IFERROR(__xludf.DUMMYFUNCTION("GOOGLEFINANCE(A524,""Name"")"),"Westwing Comercio Varejista SA")</f>
        <v>Westwing Comercio Varejista SA</v>
      </c>
      <c r="C524" s="167" t="s">
        <v>1127</v>
      </c>
      <c r="D524" s="167" t="s">
        <v>1121</v>
      </c>
      <c r="E524" s="167" t="s">
        <v>621</v>
      </c>
      <c r="F524" s="167" t="s">
        <v>1128</v>
      </c>
      <c r="G524" s="167" t="s">
        <v>131</v>
      </c>
    </row>
    <row r="525">
      <c r="A525" s="167" t="s">
        <v>1129</v>
      </c>
      <c r="B525" s="167" t="str">
        <f>IFERROR(__xludf.DUMMYFUNCTION("GOOGLEFINANCE(A525,""Name"")"),"#N/A")</f>
        <v>#N/A</v>
      </c>
      <c r="C525" s="167" t="s">
        <v>1130</v>
      </c>
      <c r="D525" s="167" t="s">
        <v>732</v>
      </c>
      <c r="E525" s="167" t="s">
        <v>1131</v>
      </c>
      <c r="F525" s="167" t="s">
        <v>1132</v>
      </c>
      <c r="G525" s="167" t="s">
        <v>131</v>
      </c>
    </row>
    <row r="526">
      <c r="A526" s="167" t="s">
        <v>1133</v>
      </c>
      <c r="B526" s="167" t="str">
        <f>IFERROR(__xludf.DUMMYFUNCTION("GOOGLEFINANCE(A526,""Name"")"),"CSN Mineracao SA")</f>
        <v>CSN Mineracao SA</v>
      </c>
      <c r="C526" s="167" t="s">
        <v>1134</v>
      </c>
      <c r="D526" s="167" t="s">
        <v>158</v>
      </c>
      <c r="E526" s="167" t="s">
        <v>1135</v>
      </c>
      <c r="F526" s="167" t="s">
        <v>160</v>
      </c>
      <c r="G526" s="167" t="s">
        <v>131</v>
      </c>
    </row>
    <row r="527">
      <c r="A527" s="167" t="s">
        <v>1136</v>
      </c>
      <c r="B527" s="167" t="str">
        <f>IFERROR(__xludf.DUMMYFUNCTION("GOOGLEFINANCE(A527,""Name"")"),"Orizon Valorizacao de Residuos SA")</f>
        <v>Orizon Valorizacao de Residuos SA</v>
      </c>
      <c r="C527" s="167" t="s">
        <v>1137</v>
      </c>
      <c r="D527" s="167" t="s">
        <v>1138</v>
      </c>
      <c r="E527" s="167" t="s">
        <v>1139</v>
      </c>
      <c r="F527" s="167" t="s">
        <v>1139</v>
      </c>
      <c r="G527" s="167" t="s">
        <v>131</v>
      </c>
    </row>
    <row r="528">
      <c r="A528" s="167" t="s">
        <v>1140</v>
      </c>
      <c r="B528" s="167" t="str">
        <f>IFERROR(__xludf.DUMMYFUNCTION("GOOGLEFINANCE(A528,""Name"")"),"Sendas Distribuidora SA")</f>
        <v>Sendas Distribuidora SA</v>
      </c>
      <c r="C528" s="167" t="s">
        <v>1141</v>
      </c>
      <c r="D528" s="167" t="s">
        <v>1142</v>
      </c>
      <c r="E528" s="167" t="s">
        <v>1143</v>
      </c>
      <c r="F528" s="167" t="s">
        <v>476</v>
      </c>
      <c r="G528" s="167" t="s">
        <v>131</v>
      </c>
    </row>
    <row r="529">
      <c r="A529" s="167" t="s">
        <v>1144</v>
      </c>
      <c r="B529" s="167" t="str">
        <f>IFERROR(__xludf.DUMMYFUNCTION("GOOGLEFINANCE(A529,""Name"")"),"Simpar SA")</f>
        <v>Simpar SA</v>
      </c>
      <c r="C529" s="167" t="s">
        <v>1145</v>
      </c>
      <c r="D529" s="167" t="s">
        <v>1146</v>
      </c>
      <c r="E529" s="167" t="s">
        <v>1147</v>
      </c>
      <c r="F529" s="167" t="s">
        <v>1014</v>
      </c>
      <c r="G529" s="167" t="s">
        <v>131</v>
      </c>
    </row>
    <row r="530">
      <c r="A530" s="167" t="s">
        <v>1148</v>
      </c>
      <c r="B530" s="167" t="str">
        <f>IFERROR(__xludf.DUMMYFUNCTION("GOOGLEFINANCE(A530,""Name"")"),"Caixa Seguridade Participacoes SA")</f>
        <v>Caixa Seguridade Participacoes SA</v>
      </c>
      <c r="C530" s="167" t="s">
        <v>1149</v>
      </c>
      <c r="D530" s="167" t="s">
        <v>875</v>
      </c>
      <c r="E530" s="167" t="s">
        <v>954</v>
      </c>
      <c r="F530" s="167" t="s">
        <v>254</v>
      </c>
      <c r="G530" s="167" t="s">
        <v>131</v>
      </c>
    </row>
    <row r="531">
      <c r="A531" s="167" t="s">
        <v>1150</v>
      </c>
      <c r="B531" s="167" t="str">
        <f>IFERROR(__xludf.DUMMYFUNCTION("GOOGLEFINANCE(A531,""Name"")"),"Boa Safra Sementes SA")</f>
        <v>Boa Safra Sementes SA</v>
      </c>
      <c r="C531" s="167" t="s">
        <v>1151</v>
      </c>
      <c r="D531" s="167" t="s">
        <v>427</v>
      </c>
      <c r="E531" s="167" t="s">
        <v>428</v>
      </c>
      <c r="F531" s="167" t="s">
        <v>429</v>
      </c>
      <c r="G531" s="167" t="s">
        <v>131</v>
      </c>
    </row>
    <row r="532">
      <c r="A532" s="167" t="s">
        <v>1152</v>
      </c>
      <c r="B532" s="167" t="str">
        <f>IFERROR(__xludf.DUMMYFUNCTION("GOOGLEFINANCE(A532,""Name"")"),"Blau Farmaceutica SA")</f>
        <v>Blau Farmaceutica SA</v>
      </c>
      <c r="C532" s="167" t="s">
        <v>1153</v>
      </c>
      <c r="D532" s="167" t="s">
        <v>675</v>
      </c>
      <c r="E532" s="167" t="s">
        <v>475</v>
      </c>
      <c r="F532" s="167" t="s">
        <v>245</v>
      </c>
      <c r="G532" s="167" t="s">
        <v>131</v>
      </c>
    </row>
    <row r="533">
      <c r="A533" s="167" t="s">
        <v>1154</v>
      </c>
      <c r="B533" s="167" t="str">
        <f>IFERROR(__xludf.DUMMYFUNCTION("GOOGLEFINANCE(A533,""Name"")"),"Hospital Mater Dei Sa")</f>
        <v>Hospital Mater Dei Sa</v>
      </c>
      <c r="C533" s="167" t="s">
        <v>1155</v>
      </c>
      <c r="D533" s="167" t="s">
        <v>675</v>
      </c>
      <c r="E533" s="167" t="s">
        <v>1092</v>
      </c>
      <c r="F533" s="167" t="s">
        <v>1092</v>
      </c>
      <c r="G533" s="167" t="s">
        <v>131</v>
      </c>
    </row>
    <row r="534">
      <c r="A534" s="167" t="s">
        <v>1156</v>
      </c>
      <c r="B534" s="167" t="str">
        <f>IFERROR(__xludf.DUMMYFUNCTION("GOOGLEFINANCE(A534,""Name"")"),"GPS Participacoes e Empreendimentos SA")</f>
        <v>GPS Participacoes e Empreendimentos SA</v>
      </c>
      <c r="C534" s="167" t="s">
        <v>1157</v>
      </c>
      <c r="D534" s="167" t="s">
        <v>277</v>
      </c>
      <c r="E534" s="167" t="s">
        <v>1051</v>
      </c>
      <c r="F534" s="167" t="s">
        <v>1158</v>
      </c>
      <c r="G534" s="167" t="s">
        <v>131</v>
      </c>
    </row>
    <row r="535">
      <c r="A535" s="167" t="s">
        <v>1159</v>
      </c>
      <c r="B535" s="167" t="str">
        <f>IFERROR(__xludf.DUMMYFUNCTION("GOOGLEFINANCE(A535,""Name"")"),"#N/A")</f>
        <v>#N/A</v>
      </c>
      <c r="C535" s="167" t="s">
        <v>1160</v>
      </c>
      <c r="D535" s="167" t="s">
        <v>715</v>
      </c>
      <c r="E535" s="167" t="s">
        <v>1161</v>
      </c>
      <c r="F535" s="167" t="s">
        <v>719</v>
      </c>
      <c r="G535" s="167" t="s">
        <v>131</v>
      </c>
    </row>
    <row r="536">
      <c r="A536" s="167" t="s">
        <v>1162</v>
      </c>
      <c r="B536" s="167" t="str">
        <f>IFERROR(__xludf.DUMMYFUNCTION("GOOGLEFINANCE(A536,""Name"")"),"#N/A")</f>
        <v>#N/A</v>
      </c>
      <c r="C536" s="167" t="s">
        <v>1163</v>
      </c>
      <c r="D536" s="167" t="s">
        <v>277</v>
      </c>
      <c r="E536" s="167" t="s">
        <v>1051</v>
      </c>
      <c r="F536" s="167" t="s">
        <v>299</v>
      </c>
      <c r="G536" s="167" t="s">
        <v>131</v>
      </c>
    </row>
    <row r="537">
      <c r="A537" s="167" t="s">
        <v>1164</v>
      </c>
      <c r="B537" s="167" t="str">
        <f>IFERROR(__xludf.DUMMYFUNCTION("GOOGLEFINANCE(A537,""Name"")"),"BRBI BR Partners SA")</f>
        <v>BRBI BR Partners SA</v>
      </c>
      <c r="C537" s="167" t="s">
        <v>1165</v>
      </c>
      <c r="D537" s="167" t="s">
        <v>875</v>
      </c>
      <c r="E537" s="167" t="s">
        <v>876</v>
      </c>
      <c r="F537" s="167" t="s">
        <v>214</v>
      </c>
      <c r="G537" s="167" t="s">
        <v>131</v>
      </c>
    </row>
    <row r="538">
      <c r="A538" s="167" t="s">
        <v>1166</v>
      </c>
      <c r="B538" s="167" t="str">
        <f>IFERROR(__xludf.DUMMYFUNCTION("GOOGLEFINANCE(A538,""Name"")"),"Allied Tecnologia SA")</f>
        <v>Allied Tecnologia SA</v>
      </c>
      <c r="C538" s="167" t="s">
        <v>1167</v>
      </c>
      <c r="D538" s="167" t="s">
        <v>481</v>
      </c>
      <c r="E538" s="167" t="s">
        <v>1168</v>
      </c>
      <c r="F538" s="167" t="s">
        <v>574</v>
      </c>
      <c r="G538" s="167" t="s">
        <v>131</v>
      </c>
    </row>
    <row r="539">
      <c r="A539" s="167" t="s">
        <v>616</v>
      </c>
      <c r="B539" s="167" t="str">
        <f>IFERROR(__xludf.DUMMYFUNCTION("GOOGLEFINANCE(A539,""Name"")"),"Smartfit Escola de Ginastica e Danca SA")</f>
        <v>Smartfit Escola de Ginastica e Danca SA</v>
      </c>
      <c r="C539" s="167" t="s">
        <v>617</v>
      </c>
      <c r="D539" s="167" t="s">
        <v>481</v>
      </c>
      <c r="E539" s="167" t="s">
        <v>1169</v>
      </c>
      <c r="F539" s="167" t="s">
        <v>618</v>
      </c>
      <c r="G539" s="167" t="s">
        <v>131</v>
      </c>
    </row>
    <row r="540">
      <c r="A540" s="167" t="s">
        <v>1170</v>
      </c>
      <c r="B540" s="167" t="str">
        <f>IFERROR(__xludf.DUMMYFUNCTION("GOOGLEFINANCE(A540,""Name"")"),"Companhia Brasileira de Aluminio")</f>
        <v>Companhia Brasileira de Aluminio</v>
      </c>
      <c r="C540" s="167" t="s">
        <v>1171</v>
      </c>
      <c r="D540" s="167" t="s">
        <v>1172</v>
      </c>
      <c r="E540" s="167" t="s">
        <v>1135</v>
      </c>
      <c r="F540" s="167" t="s">
        <v>160</v>
      </c>
      <c r="G540" s="167" t="s">
        <v>131</v>
      </c>
    </row>
    <row r="541">
      <c r="A541" s="167" t="s">
        <v>1173</v>
      </c>
      <c r="B541" s="167" t="str">
        <f>IFERROR(__xludf.DUMMYFUNCTION("GOOGLEFINANCE(A541,""Name"")"),"Agrogalaxy Participacoes SA em Recupera")</f>
        <v>Agrogalaxy Participacoes SA em Recupera</v>
      </c>
      <c r="C541" s="167" t="s">
        <v>1174</v>
      </c>
      <c r="D541" s="167" t="s">
        <v>427</v>
      </c>
      <c r="E541" s="167" t="s">
        <v>428</v>
      </c>
      <c r="F541" s="167" t="s">
        <v>429</v>
      </c>
      <c r="G541" s="167" t="s">
        <v>131</v>
      </c>
    </row>
    <row r="542">
      <c r="A542" s="167" t="s">
        <v>1175</v>
      </c>
      <c r="B542" s="167" t="str">
        <f>IFERROR(__xludf.DUMMYFUNCTION("GOOGLEFINANCE(A542,""Name"")"),"#N/A")</f>
        <v>#N/A</v>
      </c>
      <c r="C542" s="167" t="s">
        <v>1176</v>
      </c>
      <c r="D542" s="167" t="s">
        <v>715</v>
      </c>
      <c r="E542" s="167" t="s">
        <v>719</v>
      </c>
      <c r="F542" s="167" t="s">
        <v>719</v>
      </c>
      <c r="G542" s="167" t="s">
        <v>131</v>
      </c>
    </row>
    <row r="543">
      <c r="A543" s="167" t="s">
        <v>1177</v>
      </c>
      <c r="B543" s="167" t="str">
        <f>IFERROR(__xludf.DUMMYFUNCTION("GOOGLEFINANCE(A543,""Name"")"),"#N/A")</f>
        <v>#N/A</v>
      </c>
      <c r="C543" s="167" t="s">
        <v>1178</v>
      </c>
      <c r="D543" s="167" t="s">
        <v>715</v>
      </c>
      <c r="E543" s="167" t="s">
        <v>719</v>
      </c>
      <c r="F543" s="167" t="s">
        <v>719</v>
      </c>
      <c r="G543" s="167" t="s">
        <v>131</v>
      </c>
    </row>
    <row r="544">
      <c r="A544" s="167" t="s">
        <v>1179</v>
      </c>
      <c r="B544" s="167" t="str">
        <f>IFERROR(__xludf.DUMMYFUNCTION("GOOGLEFINANCE(A544,""Name"")"),"Armac Locacao Logistica e Servicos SA")</f>
        <v>Armac Locacao Logistica e Servicos SA</v>
      </c>
      <c r="C544" s="167" t="s">
        <v>1180</v>
      </c>
      <c r="D544" s="167" t="s">
        <v>1121</v>
      </c>
      <c r="E544" s="167" t="s">
        <v>1181</v>
      </c>
      <c r="F544" s="167" t="s">
        <v>1182</v>
      </c>
      <c r="G544" s="167" t="s">
        <v>131</v>
      </c>
    </row>
    <row r="545">
      <c r="A545" s="167" t="s">
        <v>1183</v>
      </c>
      <c r="B545" s="167" t="str">
        <f>IFERROR(__xludf.DUMMYFUNCTION("GOOGLEFINANCE(A545,""Name"")"),"#N/A")</f>
        <v>#N/A</v>
      </c>
      <c r="C545" s="167" t="s">
        <v>1184</v>
      </c>
      <c r="D545" s="167" t="s">
        <v>1146</v>
      </c>
      <c r="E545" s="167" t="s">
        <v>257</v>
      </c>
      <c r="F545" s="167" t="s">
        <v>1185</v>
      </c>
      <c r="G545" s="167" t="s">
        <v>131</v>
      </c>
    </row>
    <row r="546">
      <c r="A546" s="167" t="s">
        <v>1186</v>
      </c>
      <c r="B546" s="167" t="str">
        <f>IFERROR(__xludf.DUMMYFUNCTION("GOOGLEFINANCE(A546,""Name"")"),"#N/A")</f>
        <v>#N/A</v>
      </c>
      <c r="C546" s="167" t="s">
        <v>1187</v>
      </c>
      <c r="D546" s="167" t="s">
        <v>732</v>
      </c>
      <c r="E546" s="167" t="s">
        <v>733</v>
      </c>
      <c r="F546" s="167" t="s">
        <v>1188</v>
      </c>
      <c r="G546" s="167" t="s">
        <v>131</v>
      </c>
    </row>
    <row r="547">
      <c r="A547" s="167" t="s">
        <v>1189</v>
      </c>
      <c r="B547" s="167" t="str">
        <f>IFERROR(__xludf.DUMMYFUNCTION("GOOGLEFINANCE(A547,""Name"")"),"Raizen SA")</f>
        <v>Raizen SA</v>
      </c>
      <c r="C547" s="167" t="s">
        <v>1190</v>
      </c>
      <c r="D547" s="167" t="s">
        <v>1191</v>
      </c>
      <c r="E547" s="167" t="s">
        <v>1095</v>
      </c>
      <c r="F547" s="167" t="s">
        <v>1096</v>
      </c>
      <c r="G547" s="167" t="s">
        <v>131</v>
      </c>
    </row>
    <row r="548">
      <c r="A548" s="167" t="s">
        <v>1192</v>
      </c>
      <c r="B548" s="167" t="str">
        <f>IFERROR(__xludf.DUMMYFUNCTION("GOOGLEFINANCE(A548,""Name"")"),"#N/A")</f>
        <v>#N/A</v>
      </c>
      <c r="C548" s="167" t="s">
        <v>1193</v>
      </c>
      <c r="D548" s="167" t="s">
        <v>875</v>
      </c>
      <c r="E548" s="167" t="s">
        <v>876</v>
      </c>
      <c r="F548" s="167" t="s">
        <v>214</v>
      </c>
      <c r="G548" s="167" t="s">
        <v>131</v>
      </c>
    </row>
    <row r="549">
      <c r="A549" s="167" t="s">
        <v>1194</v>
      </c>
      <c r="B549" s="167" t="str">
        <f>IFERROR(__xludf.DUMMYFUNCTION("GOOGLEFINANCE(A549,""Name"")"),"#N/A")</f>
        <v>#N/A</v>
      </c>
      <c r="C549" s="167" t="s">
        <v>1193</v>
      </c>
      <c r="D549" s="167" t="s">
        <v>875</v>
      </c>
      <c r="E549" s="167" t="s">
        <v>876</v>
      </c>
      <c r="F549" s="167" t="s">
        <v>214</v>
      </c>
      <c r="G549" s="167" t="s">
        <v>131</v>
      </c>
    </row>
    <row r="550">
      <c r="A550" s="167" t="s">
        <v>1195</v>
      </c>
      <c r="B550" s="167" t="str">
        <f>IFERROR(__xludf.DUMMYFUNCTION("GOOGLEFINANCE(A550,""Name"")"),"#N/A")</f>
        <v>#N/A</v>
      </c>
      <c r="C550" s="167" t="s">
        <v>1196</v>
      </c>
      <c r="D550" s="167" t="s">
        <v>1146</v>
      </c>
      <c r="E550" s="167" t="s">
        <v>257</v>
      </c>
      <c r="F550" s="167" t="s">
        <v>257</v>
      </c>
      <c r="G550" s="167" t="s">
        <v>131</v>
      </c>
    </row>
    <row r="551">
      <c r="A551" s="167" t="s">
        <v>1197</v>
      </c>
      <c r="B551" s="167" t="str">
        <f>IFERROR(__xludf.DUMMYFUNCTION("GOOGLEFINANCE(A551,""Name"")"),"#N/A")</f>
        <v>#N/A</v>
      </c>
      <c r="C551" s="167" t="s">
        <v>1196</v>
      </c>
      <c r="D551" s="167" t="s">
        <v>1146</v>
      </c>
      <c r="E551" s="167" t="s">
        <v>257</v>
      </c>
      <c r="F551" s="167" t="s">
        <v>257</v>
      </c>
      <c r="G551" s="167" t="s">
        <v>131</v>
      </c>
    </row>
    <row r="552">
      <c r="A552" s="167" t="s">
        <v>1198</v>
      </c>
      <c r="B552" s="167" t="str">
        <f>IFERROR(__xludf.DUMMYFUNCTION("GOOGLEFINANCE(A552,""Name"")"),"#N/A")</f>
        <v>#N/A</v>
      </c>
      <c r="C552" s="167" t="s">
        <v>1196</v>
      </c>
      <c r="D552" s="167" t="s">
        <v>1146</v>
      </c>
      <c r="E552" s="167" t="s">
        <v>257</v>
      </c>
      <c r="F552" s="167" t="s">
        <v>257</v>
      </c>
      <c r="G552" s="167" t="s">
        <v>131</v>
      </c>
    </row>
    <row r="553">
      <c r="A553" s="167" t="s">
        <v>1199</v>
      </c>
      <c r="B553" s="167" t="str">
        <f>IFERROR(__xludf.DUMMYFUNCTION("GOOGLEFINANCE(A553,""Name"")"),"Iguatemi SA")</f>
        <v>Iguatemi SA</v>
      </c>
      <c r="C553" s="167" t="s">
        <v>998</v>
      </c>
      <c r="D553" s="167" t="s">
        <v>875</v>
      </c>
      <c r="E553" s="167" t="s">
        <v>980</v>
      </c>
      <c r="F553" s="167" t="s">
        <v>980</v>
      </c>
      <c r="G553" s="167" t="s">
        <v>131</v>
      </c>
    </row>
    <row r="554">
      <c r="A554" s="167" t="s">
        <v>1200</v>
      </c>
      <c r="B554" s="167" t="str">
        <f>IFERROR(__xludf.DUMMYFUNCTION("GOOGLEFINANCE(A554,""Name"")"),"Iguatemi SA Preference Shares")</f>
        <v>Iguatemi SA Preference Shares</v>
      </c>
      <c r="C554" s="167" t="s">
        <v>998</v>
      </c>
      <c r="D554" s="167" t="s">
        <v>875</v>
      </c>
      <c r="E554" s="167" t="s">
        <v>980</v>
      </c>
      <c r="F554" s="167" t="s">
        <v>980</v>
      </c>
      <c r="G554" s="167" t="s">
        <v>131</v>
      </c>
    </row>
    <row r="555">
      <c r="A555" s="167" t="s">
        <v>1201</v>
      </c>
      <c r="B555" s="167" t="str">
        <f>IFERROR(__xludf.DUMMYFUNCTION("GOOGLEFINANCE(A555,""Name"")"),"Iguatemi SA Unit")</f>
        <v>Iguatemi SA Unit</v>
      </c>
      <c r="C555" s="167" t="s">
        <v>998</v>
      </c>
      <c r="D555" s="167" t="s">
        <v>875</v>
      </c>
      <c r="E555" s="167" t="s">
        <v>980</v>
      </c>
      <c r="F555" s="167" t="s">
        <v>980</v>
      </c>
      <c r="G555" s="167" t="s">
        <v>131</v>
      </c>
    </row>
    <row r="556">
      <c r="A556" s="167" t="s">
        <v>1202</v>
      </c>
      <c r="B556" s="167" t="str">
        <f>IFERROR(__xludf.DUMMYFUNCTION("GOOGLEFINANCE(A556,""Name"")"),"Grupo Multi SA")</f>
        <v>Grupo Multi SA</v>
      </c>
      <c r="C556" s="167" t="s">
        <v>1203</v>
      </c>
      <c r="D556" s="167" t="s">
        <v>1204</v>
      </c>
      <c r="E556" s="167" t="s">
        <v>1205</v>
      </c>
      <c r="F556" s="167" t="s">
        <v>716</v>
      </c>
      <c r="G556" s="167" t="s">
        <v>131</v>
      </c>
    </row>
    <row r="557">
      <c r="A557" s="167" t="s">
        <v>1206</v>
      </c>
      <c r="B557" s="167" t="str">
        <f>IFERROR(__xludf.DUMMYFUNCTION("GOOGLEFINANCE(A557,""Name"")"),"#N/A")</f>
        <v>#N/A</v>
      </c>
      <c r="C557" s="167" t="s">
        <v>1193</v>
      </c>
      <c r="D557" s="167" t="s">
        <v>875</v>
      </c>
      <c r="E557" s="167" t="s">
        <v>876</v>
      </c>
      <c r="F557" s="167" t="s">
        <v>214</v>
      </c>
      <c r="G557" s="167" t="s">
        <v>131</v>
      </c>
    </row>
    <row r="558">
      <c r="A558" s="167"/>
      <c r="B558" s="167"/>
      <c r="C558" s="167"/>
      <c r="D558" s="167"/>
      <c r="E558" s="167"/>
      <c r="F558" s="167"/>
      <c r="G558" s="167"/>
    </row>
    <row r="559">
      <c r="A559" s="167" t="s">
        <v>1207</v>
      </c>
      <c r="B559" s="167" t="str">
        <f>IFERROR(__xludf.DUMMYFUNCTION("GOOGLEFINANCE(A559,""Name"")"),"FI Imobiliario Grand Plaza Shopping")</f>
        <v>FI Imobiliario Grand Plaza Shopping</v>
      </c>
      <c r="C559" s="167" t="s">
        <v>1208</v>
      </c>
      <c r="D559" s="167" t="s">
        <v>1209</v>
      </c>
      <c r="E559" s="167" t="s">
        <v>54</v>
      </c>
      <c r="F559" s="167" t="s">
        <v>1210</v>
      </c>
      <c r="G559" s="167" t="s">
        <v>226</v>
      </c>
    </row>
    <row r="560">
      <c r="A560" s="167" t="s">
        <v>1211</v>
      </c>
      <c r="B560" s="167" t="str">
        <f>IFERROR(__xludf.DUMMYFUNCTION("GOOGLEFINANCE(A560,""Name"")"),"#N/A")</f>
        <v>#N/A</v>
      </c>
      <c r="C560" s="169" t="s">
        <v>1212</v>
      </c>
      <c r="D560" s="167" t="s">
        <v>1213</v>
      </c>
      <c r="E560" s="167" t="s">
        <v>54</v>
      </c>
      <c r="F560" s="167" t="s">
        <v>1214</v>
      </c>
      <c r="G560" s="167" t="s">
        <v>226</v>
      </c>
    </row>
    <row r="561">
      <c r="A561" s="167" t="s">
        <v>1215</v>
      </c>
      <c r="B561" s="167" t="str">
        <f>IFERROR(__xludf.DUMMYFUNCTION("GOOGLEFINANCE(A561,""Name"")"),"#N/A")</f>
        <v>#N/A</v>
      </c>
      <c r="C561" s="167" t="s">
        <v>1216</v>
      </c>
      <c r="D561" s="167" t="s">
        <v>1217</v>
      </c>
      <c r="E561" s="167" t="s">
        <v>54</v>
      </c>
      <c r="F561" s="167" t="s">
        <v>1218</v>
      </c>
      <c r="G561" s="167" t="s">
        <v>226</v>
      </c>
    </row>
    <row r="562">
      <c r="A562" s="167" t="s">
        <v>1219</v>
      </c>
      <c r="B562" s="167" t="str">
        <f>IFERROR(__xludf.DUMMYFUNCTION("GOOGLEFINANCE(A562,""Name"")"),"Autonomy Edificios Corporativos FII")</f>
        <v>Autonomy Edificios Corporativos FII</v>
      </c>
      <c r="C562" s="167" t="s">
        <v>1220</v>
      </c>
      <c r="D562" s="167" t="s">
        <v>1221</v>
      </c>
      <c r="E562" s="167" t="s">
        <v>54</v>
      </c>
      <c r="F562" s="167" t="s">
        <v>1222</v>
      </c>
      <c r="G562" s="167" t="s">
        <v>226</v>
      </c>
    </row>
    <row r="563">
      <c r="A563" s="167" t="s">
        <v>1223</v>
      </c>
      <c r="B563" s="167" t="str">
        <f>IFERROR(__xludf.DUMMYFUNCTION("GOOGLEFINANCE(A563,""Name"")"),"FI Imobiliario - FII Torre Almirante")</f>
        <v>FI Imobiliario - FII Torre Almirante</v>
      </c>
      <c r="C563" s="167" t="s">
        <v>1224</v>
      </c>
      <c r="D563" s="167" t="s">
        <v>1221</v>
      </c>
      <c r="E563" s="167" t="s">
        <v>54</v>
      </c>
      <c r="F563" s="167" t="s">
        <v>1225</v>
      </c>
      <c r="G563" s="167" t="s">
        <v>226</v>
      </c>
    </row>
    <row r="564">
      <c r="A564" s="167" t="s">
        <v>1226</v>
      </c>
      <c r="B564" s="167" t="str">
        <f>IFERROR(__xludf.DUMMYFUNCTION("GOOGLEFINANCE(A564,""Name"")"),"Alianza Trust Renda Imobiliaria FII")</f>
        <v>Alianza Trust Renda Imobiliaria FII</v>
      </c>
      <c r="C564" s="167" t="s">
        <v>1227</v>
      </c>
      <c r="D564" s="167" t="s">
        <v>1228</v>
      </c>
      <c r="E564" s="167" t="s">
        <v>54</v>
      </c>
      <c r="F564" s="167" t="s">
        <v>1225</v>
      </c>
      <c r="G564" s="167" t="s">
        <v>226</v>
      </c>
    </row>
    <row r="565">
      <c r="A565" s="167" t="s">
        <v>1229</v>
      </c>
      <c r="B565" s="167" t="str">
        <f>IFERROR(__xludf.DUMMYFUNCTION("GOOGLEFINANCE(A565,""Name"")"),"#N/A")</f>
        <v>#N/A</v>
      </c>
      <c r="C565" s="167" t="s">
        <v>54</v>
      </c>
      <c r="D565" s="167" t="s">
        <v>1209</v>
      </c>
      <c r="E565" s="167" t="s">
        <v>54</v>
      </c>
      <c r="F565" s="167" t="s">
        <v>1230</v>
      </c>
      <c r="G565" s="167" t="s">
        <v>226</v>
      </c>
    </row>
    <row r="566">
      <c r="A566" s="167" t="s">
        <v>1231</v>
      </c>
      <c r="B566" s="167" t="str">
        <f>IFERROR(__xludf.DUMMYFUNCTION("GOOGLEFINANCE(A566,""Name"")"),"#N/A")</f>
        <v>#N/A</v>
      </c>
      <c r="C566" s="167" t="s">
        <v>1232</v>
      </c>
      <c r="D566" s="167" t="s">
        <v>1217</v>
      </c>
      <c r="E566" s="167" t="s">
        <v>54</v>
      </c>
      <c r="F566" s="167" t="s">
        <v>1233</v>
      </c>
      <c r="G566" s="167" t="s">
        <v>226</v>
      </c>
    </row>
    <row r="567">
      <c r="A567" s="167" t="s">
        <v>1234</v>
      </c>
      <c r="B567" s="167" t="str">
        <f>IFERROR(__xludf.DUMMYFUNCTION("GOOGLEFINANCE(A567,""Name"")"),"#N/A")</f>
        <v>#N/A</v>
      </c>
      <c r="C567" s="167" t="s">
        <v>1235</v>
      </c>
      <c r="D567" s="167" t="s">
        <v>1213</v>
      </c>
      <c r="E567" s="167" t="s">
        <v>54</v>
      </c>
      <c r="F567" s="167" t="s">
        <v>1236</v>
      </c>
      <c r="G567" s="167" t="s">
        <v>226</v>
      </c>
    </row>
    <row r="568">
      <c r="A568" s="167" t="s">
        <v>1237</v>
      </c>
      <c r="B568" s="167" t="str">
        <f>IFERROR(__xludf.DUMMYFUNCTION("GOOGLEFINANCE(A568,""Name"")"),"FI Imobiliario Atrio REIT Recebiveis Imobiliarios")</f>
        <v>FI Imobiliario Atrio REIT Recebiveis Imobiliarios</v>
      </c>
      <c r="C568" s="167" t="s">
        <v>1238</v>
      </c>
      <c r="D568" s="167" t="s">
        <v>1213</v>
      </c>
      <c r="E568" s="167" t="s">
        <v>54</v>
      </c>
      <c r="F568" s="167" t="s">
        <v>1239</v>
      </c>
      <c r="G568" s="167" t="s">
        <v>226</v>
      </c>
    </row>
    <row r="569">
      <c r="A569" s="167" t="s">
        <v>1240</v>
      </c>
      <c r="B569" s="167" t="str">
        <f>IFERROR(__xludf.DUMMYFUNCTION("GOOGLEFINANCE(A569,""Name"")"),"Haz Fundo de Investimento Imobiliario")</f>
        <v>Haz Fundo de Investimento Imobiliario</v>
      </c>
      <c r="C569" s="167" t="s">
        <v>1241</v>
      </c>
      <c r="D569" s="167" t="s">
        <v>1242</v>
      </c>
      <c r="E569" s="167" t="s">
        <v>54</v>
      </c>
      <c r="F569" s="167" t="s">
        <v>1243</v>
      </c>
      <c r="G569" s="167" t="s">
        <v>226</v>
      </c>
    </row>
    <row r="570">
      <c r="A570" s="167" t="s">
        <v>1244</v>
      </c>
      <c r="B570" s="167" t="str">
        <f>IFERROR(__xludf.DUMMYFUNCTION("GOOGLEFINANCE(A570,""Name"")"),"Hedge Atrium Shopping Santo Andre FII - Unica")</f>
        <v>Hedge Atrium Shopping Santo Andre FII - Unica</v>
      </c>
      <c r="C570" s="167" t="s">
        <v>1245</v>
      </c>
      <c r="D570" s="167" t="s">
        <v>1209</v>
      </c>
      <c r="E570" s="167" t="s">
        <v>54</v>
      </c>
      <c r="F570" s="167" t="s">
        <v>1246</v>
      </c>
      <c r="G570" s="167" t="s">
        <v>226</v>
      </c>
    </row>
    <row r="571">
      <c r="A571" s="167" t="s">
        <v>1247</v>
      </c>
      <c r="B571" s="167" t="str">
        <f>IFERROR(__xludf.DUMMYFUNCTION("GOOGLEFINANCE(A571,""Name"")"),"#N/A")</f>
        <v>#N/A</v>
      </c>
      <c r="C571" s="167" t="s">
        <v>1248</v>
      </c>
      <c r="D571" s="167" t="s">
        <v>1213</v>
      </c>
      <c r="E571" s="167" t="s">
        <v>54</v>
      </c>
      <c r="F571" s="167" t="s">
        <v>1239</v>
      </c>
      <c r="G571" s="167" t="s">
        <v>226</v>
      </c>
    </row>
    <row r="572">
      <c r="A572" s="167" t="s">
        <v>1249</v>
      </c>
      <c r="B572" s="167" t="str">
        <f>IFERROR(__xludf.DUMMYFUNCTION("GOOGLEFINANCE(A572,""Name"")"),"#N/A")</f>
        <v>#N/A</v>
      </c>
      <c r="C572" s="167" t="s">
        <v>1250</v>
      </c>
      <c r="D572" s="167" t="s">
        <v>1251</v>
      </c>
      <c r="E572" s="167" t="s">
        <v>54</v>
      </c>
      <c r="F572" s="167" t="s">
        <v>1225</v>
      </c>
      <c r="G572" s="167" t="s">
        <v>226</v>
      </c>
    </row>
    <row r="573">
      <c r="A573" s="167" t="s">
        <v>1252</v>
      </c>
      <c r="B573" s="167" t="str">
        <f>IFERROR(__xludf.DUMMYFUNCTION("GOOGLEFINANCE(A573,""Name"")"),"#N/A")</f>
        <v>#N/A</v>
      </c>
      <c r="C573" s="167" t="s">
        <v>1253</v>
      </c>
      <c r="D573" s="167" t="s">
        <v>1213</v>
      </c>
      <c r="E573" s="167" t="s">
        <v>54</v>
      </c>
      <c r="F573" s="167" t="s">
        <v>1254</v>
      </c>
      <c r="G573" s="167" t="s">
        <v>226</v>
      </c>
    </row>
    <row r="574">
      <c r="A574" s="167" t="s">
        <v>1255</v>
      </c>
      <c r="B574" s="167" t="str">
        <f>IFERROR(__xludf.DUMMYFUNCTION("GOOGLEFINANCE(A574,""Name"")"),"#N/A")</f>
        <v>#N/A</v>
      </c>
      <c r="C574" s="167" t="s">
        <v>1256</v>
      </c>
      <c r="D574" s="167" t="s">
        <v>1251</v>
      </c>
      <c r="E574" s="167" t="s">
        <v>54</v>
      </c>
      <c r="F574" s="167" t="s">
        <v>1257</v>
      </c>
      <c r="G574" s="167" t="s">
        <v>226</v>
      </c>
    </row>
    <row r="575">
      <c r="A575" s="167" t="s">
        <v>1258</v>
      </c>
      <c r="B575" s="167" t="str">
        <f>IFERROR(__xludf.DUMMYFUNCTION("GOOGLEFINANCE(A575,""Name"")"),"BB Renda Corporativa FII Responsabilidade Limitada")</f>
        <v>BB Renda Corporativa FII Responsabilidade Limitada</v>
      </c>
      <c r="C575" s="167" t="s">
        <v>1259</v>
      </c>
      <c r="D575" s="167" t="s">
        <v>1251</v>
      </c>
      <c r="E575" s="167" t="s">
        <v>54</v>
      </c>
      <c r="F575" s="167" t="s">
        <v>1257</v>
      </c>
      <c r="G575" s="167" t="s">
        <v>226</v>
      </c>
    </row>
    <row r="576">
      <c r="A576" s="167" t="s">
        <v>1260</v>
      </c>
      <c r="B576" s="167" t="str">
        <f>IFERROR(__xludf.DUMMYFUNCTION("GOOGLEFINANCE(A576,""Name"")"),"#N/A")</f>
        <v>#N/A</v>
      </c>
      <c r="C576" s="167" t="s">
        <v>1261</v>
      </c>
      <c r="D576" s="167" t="s">
        <v>1221</v>
      </c>
      <c r="E576" s="167" t="s">
        <v>54</v>
      </c>
      <c r="F576" s="167" t="s">
        <v>1246</v>
      </c>
      <c r="G576" s="167" t="s">
        <v>226</v>
      </c>
    </row>
    <row r="577">
      <c r="A577" s="167" t="s">
        <v>1262</v>
      </c>
      <c r="B577" s="167" t="str">
        <f>IFERROR(__xludf.DUMMYFUNCTION("GOOGLEFINANCE(A577,""Name"")"),"#N/A")</f>
        <v>#N/A</v>
      </c>
      <c r="C577" s="167" t="s">
        <v>1263</v>
      </c>
      <c r="D577" s="167" t="s">
        <v>1217</v>
      </c>
      <c r="E577" s="167" t="s">
        <v>54</v>
      </c>
      <c r="F577" s="167" t="s">
        <v>1225</v>
      </c>
      <c r="G577" s="167" t="s">
        <v>226</v>
      </c>
    </row>
    <row r="578">
      <c r="A578" s="167" t="s">
        <v>1264</v>
      </c>
      <c r="B578" s="167" t="str">
        <f>IFERROR(__xludf.DUMMYFUNCTION("GOOGLEFINANCE(A578,""Name"")"),"Bradesco Carteira Imobiliaria Ativa - Fundo de FII")</f>
        <v>Bradesco Carteira Imobiliaria Ativa - Fundo de FII</v>
      </c>
      <c r="C578" s="167" t="s">
        <v>1265</v>
      </c>
      <c r="D578" s="167" t="s">
        <v>1217</v>
      </c>
      <c r="E578" s="167" t="s">
        <v>54</v>
      </c>
      <c r="F578" s="167" t="s">
        <v>1266</v>
      </c>
      <c r="G578" s="167" t="s">
        <v>226</v>
      </c>
    </row>
    <row r="579">
      <c r="A579" s="167" t="s">
        <v>1267</v>
      </c>
      <c r="B579" s="167" t="str">
        <f>IFERROR(__xludf.DUMMYFUNCTION("GOOGLEFINANCE(A579,""Name"")"),"Banestes Recebiveis Imobiliarios FII")</f>
        <v>Banestes Recebiveis Imobiliarios FII</v>
      </c>
      <c r="C579" s="167" t="s">
        <v>1268</v>
      </c>
      <c r="D579" s="167" t="s">
        <v>1213</v>
      </c>
      <c r="E579" s="167" t="s">
        <v>54</v>
      </c>
      <c r="F579" s="167" t="s">
        <v>1218</v>
      </c>
      <c r="G579" s="167" t="s">
        <v>226</v>
      </c>
    </row>
    <row r="580">
      <c r="A580" s="167" t="s">
        <v>1269</v>
      </c>
      <c r="B580" s="167" t="str">
        <f>IFERROR(__xludf.DUMMYFUNCTION("GOOGLEFINANCE(A580,""Name"")"),"#N/A")</f>
        <v>#N/A</v>
      </c>
      <c r="C580" s="167" t="s">
        <v>1270</v>
      </c>
      <c r="D580" s="167" t="s">
        <v>1213</v>
      </c>
      <c r="E580" s="167" t="s">
        <v>54</v>
      </c>
      <c r="F580" s="167" t="s">
        <v>1271</v>
      </c>
      <c r="G580" s="167" t="s">
        <v>226</v>
      </c>
    </row>
    <row r="581">
      <c r="A581" s="167" t="s">
        <v>1272</v>
      </c>
      <c r="B581" s="167" t="str">
        <f>IFERROR(__xludf.DUMMYFUNCTION("GOOGLEFINANCE(A581,""Name"")"),"#N/A")</f>
        <v>#N/A</v>
      </c>
      <c r="C581" s="167" t="s">
        <v>1273</v>
      </c>
      <c r="D581" s="167" t="s">
        <v>1213</v>
      </c>
      <c r="E581" s="167" t="s">
        <v>54</v>
      </c>
      <c r="F581" s="167" t="s">
        <v>1274</v>
      </c>
      <c r="G581" s="167" t="s">
        <v>226</v>
      </c>
    </row>
    <row r="582">
      <c r="A582" s="167" t="s">
        <v>1275</v>
      </c>
      <c r="B582" s="167" t="str">
        <f>IFERROR(__xludf.DUMMYFUNCTION("GOOGLEFINANCE(A582,""Name"")"),"#N/A")</f>
        <v>#N/A</v>
      </c>
      <c r="C582" s="167" t="s">
        <v>1276</v>
      </c>
      <c r="D582" s="167" t="s">
        <v>1277</v>
      </c>
      <c r="E582" s="167" t="s">
        <v>54</v>
      </c>
      <c r="F582" s="167" t="s">
        <v>1225</v>
      </c>
      <c r="G582" s="167" t="s">
        <v>226</v>
      </c>
    </row>
    <row r="583">
      <c r="A583" s="167" t="s">
        <v>1278</v>
      </c>
      <c r="B583" s="167" t="str">
        <f>IFERROR(__xludf.DUMMYFUNCTION("GOOGLEFINANCE(A583,""Name"")"),"VBI Office Fnd II FI Imobiliario")</f>
        <v>VBI Office Fnd II FI Imobiliario</v>
      </c>
      <c r="C583" s="167" t="s">
        <v>1279</v>
      </c>
      <c r="D583" s="167" t="s">
        <v>1221</v>
      </c>
      <c r="E583" s="167" t="s">
        <v>54</v>
      </c>
      <c r="F583" s="167" t="s">
        <v>1218</v>
      </c>
      <c r="G583" s="167" t="s">
        <v>226</v>
      </c>
    </row>
    <row r="584">
      <c r="A584" s="167" t="s">
        <v>1280</v>
      </c>
      <c r="B584" s="167" t="str">
        <f>IFERROR(__xludf.DUMMYFUNCTION("GOOGLEFINANCE(A584,""Name"")"),"#N/A")</f>
        <v>#N/A</v>
      </c>
      <c r="C584" s="167" t="s">
        <v>1281</v>
      </c>
      <c r="D584" s="167" t="s">
        <v>1221</v>
      </c>
      <c r="E584" s="167" t="s">
        <v>54</v>
      </c>
      <c r="F584" s="167" t="s">
        <v>1210</v>
      </c>
      <c r="G584" s="167" t="s">
        <v>226</v>
      </c>
    </row>
    <row r="585">
      <c r="A585" s="167" t="s">
        <v>1282</v>
      </c>
      <c r="B585" s="167" t="str">
        <f>IFERROR(__xludf.DUMMYFUNCTION("GOOGLEFINANCE(A585,""Name"")"),"#N/A")</f>
        <v>#N/A</v>
      </c>
      <c r="C585" s="167" t="s">
        <v>1283</v>
      </c>
      <c r="D585" s="167" t="s">
        <v>1221</v>
      </c>
      <c r="E585" s="167" t="s">
        <v>54</v>
      </c>
      <c r="F585" s="167" t="s">
        <v>1225</v>
      </c>
      <c r="G585" s="167" t="s">
        <v>226</v>
      </c>
    </row>
    <row r="586">
      <c r="A586" s="167" t="s">
        <v>1284</v>
      </c>
      <c r="B586" s="167" t="str">
        <f>IFERROR(__xludf.DUMMYFUNCTION("GOOGLEFINANCE(A586,""Name"")"),"Banrisul Novas Fronteiras FII")</f>
        <v>Banrisul Novas Fronteiras FII</v>
      </c>
      <c r="C586" s="167" t="s">
        <v>1285</v>
      </c>
      <c r="D586" s="167" t="s">
        <v>1251</v>
      </c>
      <c r="E586" s="167" t="s">
        <v>54</v>
      </c>
      <c r="F586" s="167" t="s">
        <v>1239</v>
      </c>
      <c r="G586" s="167" t="s">
        <v>226</v>
      </c>
    </row>
    <row r="587">
      <c r="A587" s="167" t="s">
        <v>1286</v>
      </c>
      <c r="B587" s="167" t="str">
        <f>IFERROR(__xludf.DUMMYFUNCTION("GOOGLEFINANCE(A587,""Name"")"),"#N/A")</f>
        <v>#N/A</v>
      </c>
      <c r="C587" s="167" t="s">
        <v>1287</v>
      </c>
      <c r="D587" s="167" t="s">
        <v>1217</v>
      </c>
      <c r="E587" s="167" t="s">
        <v>54</v>
      </c>
      <c r="F587" s="167" t="s">
        <v>1288</v>
      </c>
      <c r="G587" s="167" t="s">
        <v>226</v>
      </c>
    </row>
    <row r="588">
      <c r="A588" s="167" t="s">
        <v>1289</v>
      </c>
      <c r="B588" s="167" t="str">
        <f>IFERROR(__xludf.DUMMYFUNCTION("GOOGLEFINANCE(A588,""Name"")"),"#N/A")</f>
        <v>#N/A</v>
      </c>
      <c r="C588" s="167" t="s">
        <v>54</v>
      </c>
      <c r="D588" s="167" t="s">
        <v>1209</v>
      </c>
      <c r="E588" s="167" t="s">
        <v>54</v>
      </c>
      <c r="F588" s="167" t="s">
        <v>1218</v>
      </c>
      <c r="G588" s="167" t="s">
        <v>226</v>
      </c>
    </row>
    <row r="589">
      <c r="A589" s="167" t="s">
        <v>1290</v>
      </c>
      <c r="B589" s="167" t="str">
        <f>IFERROR(__xludf.DUMMYFUNCTION("GOOGLEFINANCE(A589,""Name"")"),"FI Imobiliario BTG Pactual Shoppings Closed Fund")</f>
        <v>FI Imobiliario BTG Pactual Shoppings Closed Fund</v>
      </c>
      <c r="C589" s="167" t="s">
        <v>1291</v>
      </c>
      <c r="D589" s="167" t="s">
        <v>1209</v>
      </c>
      <c r="E589" s="167" t="s">
        <v>54</v>
      </c>
      <c r="F589" s="167" t="s">
        <v>1225</v>
      </c>
      <c r="G589" s="167" t="s">
        <v>226</v>
      </c>
    </row>
    <row r="590">
      <c r="A590" s="167" t="s">
        <v>1292</v>
      </c>
      <c r="B590" s="167" t="str">
        <f>IFERROR(__xludf.DUMMYFUNCTION("GOOGLEFINANCE(A590,""Name"")"),"#N/A")</f>
        <v>#N/A</v>
      </c>
      <c r="C590" s="167" t="s">
        <v>1293</v>
      </c>
      <c r="D590" s="167" t="s">
        <v>1277</v>
      </c>
      <c r="E590" s="167" t="s">
        <v>54</v>
      </c>
      <c r="F590" s="167" t="s">
        <v>1225</v>
      </c>
      <c r="G590" s="167" t="s">
        <v>226</v>
      </c>
    </row>
    <row r="591">
      <c r="A591" s="167" t="s">
        <v>1294</v>
      </c>
      <c r="B591" s="167" t="str">
        <f>IFERROR(__xludf.DUMMYFUNCTION("GOOGLEFINANCE(A591,""Name"")"),"Bresco - Logistica FII")</f>
        <v>Bresco - Logistica FII</v>
      </c>
      <c r="C591" s="167" t="s">
        <v>1295</v>
      </c>
      <c r="D591" s="167" t="s">
        <v>1277</v>
      </c>
      <c r="E591" s="167" t="s">
        <v>54</v>
      </c>
      <c r="F591" s="167" t="s">
        <v>1239</v>
      </c>
      <c r="G591" s="167" t="s">
        <v>226</v>
      </c>
    </row>
    <row r="592">
      <c r="A592" s="167" t="s">
        <v>1296</v>
      </c>
      <c r="B592" s="167" t="str">
        <f>IFERROR(__xludf.DUMMYFUNCTION("GOOGLEFINANCE(A592,""Name"")"),"FII BTG Pactual Corporate Office Fund")</f>
        <v>FII BTG Pactual Corporate Office Fund</v>
      </c>
      <c r="C592" s="167" t="s">
        <v>1297</v>
      </c>
      <c r="D592" s="167" t="s">
        <v>1221</v>
      </c>
      <c r="E592" s="167" t="s">
        <v>54</v>
      </c>
      <c r="F592" s="167" t="s">
        <v>1225</v>
      </c>
      <c r="G592" s="167" t="s">
        <v>226</v>
      </c>
    </row>
    <row r="593">
      <c r="A593" s="167" t="s">
        <v>1298</v>
      </c>
      <c r="B593" s="167" t="str">
        <f>IFERROR(__xludf.DUMMYFUNCTION("GOOGLEFINANCE(A593,""Name"")"),"#N/A")</f>
        <v>#N/A</v>
      </c>
      <c r="C593" s="167" t="s">
        <v>1299</v>
      </c>
      <c r="D593" s="167" t="s">
        <v>1221</v>
      </c>
      <c r="E593" s="167" t="s">
        <v>54</v>
      </c>
      <c r="F593" s="167" t="s">
        <v>1300</v>
      </c>
      <c r="G593" s="167" t="s">
        <v>226</v>
      </c>
    </row>
    <row r="594">
      <c r="A594" s="167" t="s">
        <v>1301</v>
      </c>
      <c r="B594" s="167" t="str">
        <f>IFERROR(__xludf.DUMMYFUNCTION("GOOGLEFINANCE(A594,""Name"")"),"#N/A")</f>
        <v>#N/A</v>
      </c>
      <c r="C594" s="167" t="s">
        <v>1302</v>
      </c>
      <c r="D594" s="167" t="s">
        <v>1242</v>
      </c>
      <c r="E594" s="167" t="s">
        <v>54</v>
      </c>
      <c r="F594" s="167" t="s">
        <v>1303</v>
      </c>
      <c r="G594" s="167" t="s">
        <v>226</v>
      </c>
    </row>
    <row r="595">
      <c r="A595" s="167" t="s">
        <v>1304</v>
      </c>
      <c r="B595" s="167" t="str">
        <f>IFERROR(__xludf.DUMMYFUNCTION("GOOGLEFINANCE(A595,""Name"")"),"#N/A")</f>
        <v>#N/A</v>
      </c>
      <c r="C595" s="167" t="s">
        <v>1305</v>
      </c>
      <c r="D595" s="167" t="s">
        <v>1306</v>
      </c>
      <c r="E595" s="167" t="s">
        <v>54</v>
      </c>
      <c r="F595" s="167" t="s">
        <v>1218</v>
      </c>
      <c r="G595" s="167" t="s">
        <v>226</v>
      </c>
    </row>
    <row r="596">
      <c r="A596" s="167" t="s">
        <v>1307</v>
      </c>
      <c r="B596" s="167" t="str">
        <f>IFERROR(__xludf.DUMMYFUNCTION("GOOGLEFINANCE(A596,""Name"")"),"#N/A")</f>
        <v>#N/A</v>
      </c>
      <c r="C596" s="167" t="s">
        <v>1308</v>
      </c>
      <c r="D596" s="167" t="s">
        <v>1213</v>
      </c>
      <c r="E596" s="167" t="s">
        <v>54</v>
      </c>
      <c r="F596" s="167" t="s">
        <v>1225</v>
      </c>
      <c r="G596" s="167" t="s">
        <v>226</v>
      </c>
    </row>
    <row r="597">
      <c r="A597" s="167" t="s">
        <v>1309</v>
      </c>
      <c r="B597" s="167" t="str">
        <f>IFERROR(__xludf.DUMMYFUNCTION("GOOGLEFINANCE(A597,""Name"")"),"BTG Pactual Logistica FI Imobiliario")</f>
        <v>BTG Pactual Logistica FI Imobiliario</v>
      </c>
      <c r="C597" s="167" t="s">
        <v>1310</v>
      </c>
      <c r="D597" s="167" t="s">
        <v>1277</v>
      </c>
      <c r="E597" s="167" t="s">
        <v>54</v>
      </c>
      <c r="F597" s="167" t="s">
        <v>1225</v>
      </c>
      <c r="G597" s="167" t="s">
        <v>226</v>
      </c>
    </row>
    <row r="598">
      <c r="A598" s="167" t="s">
        <v>1311</v>
      </c>
      <c r="B598" s="167" t="str">
        <f>IFERROR(__xludf.DUMMYFUNCTION("GOOGLEFINANCE(A598,""Name"")"),"#N/A")</f>
        <v>#N/A</v>
      </c>
      <c r="C598" s="167" t="s">
        <v>1312</v>
      </c>
      <c r="D598" s="167" t="s">
        <v>1313</v>
      </c>
      <c r="E598" s="167" t="s">
        <v>54</v>
      </c>
      <c r="F598" s="167" t="s">
        <v>1314</v>
      </c>
      <c r="G598" s="167" t="s">
        <v>226</v>
      </c>
    </row>
    <row r="599">
      <c r="A599" s="167" t="s">
        <v>1315</v>
      </c>
      <c r="B599" s="167" t="str">
        <f>IFERROR(__xludf.DUMMYFUNCTION("GOOGLEFINANCE(A599,""Name"")"),"FI Imobiliario Brasil Varejo - FII")</f>
        <v>FI Imobiliario Brasil Varejo - FII</v>
      </c>
      <c r="C599" s="167" t="s">
        <v>1316</v>
      </c>
      <c r="D599" s="167" t="s">
        <v>1221</v>
      </c>
      <c r="E599" s="167" t="s">
        <v>54</v>
      </c>
      <c r="F599" s="167" t="s">
        <v>1210</v>
      </c>
      <c r="G599" s="167" t="s">
        <v>226</v>
      </c>
    </row>
    <row r="600">
      <c r="A600" s="167" t="s">
        <v>1317</v>
      </c>
      <c r="B600" s="167" t="str">
        <f>IFERROR(__xludf.DUMMYFUNCTION("GOOGLEFINANCE(A600,""Name"")"),"#N/A")</f>
        <v>#N/A</v>
      </c>
      <c r="C600" s="167" t="s">
        <v>1318</v>
      </c>
      <c r="D600" s="167" t="s">
        <v>1213</v>
      </c>
      <c r="E600" s="167" t="s">
        <v>54</v>
      </c>
      <c r="F600" s="167" t="s">
        <v>1236</v>
      </c>
      <c r="G600" s="167" t="s">
        <v>226</v>
      </c>
    </row>
    <row r="601">
      <c r="A601" s="167" t="s">
        <v>1319</v>
      </c>
      <c r="B601" s="167" t="str">
        <f>IFERROR(__xludf.DUMMYFUNCTION("GOOGLEFINANCE(A601,""Name"")"),"Brazilian Graveyard and Death Care Services FII")</f>
        <v>Brazilian Graveyard and Death Care Services FII</v>
      </c>
      <c r="C601" s="167" t="s">
        <v>1320</v>
      </c>
      <c r="D601" s="167" t="s">
        <v>1020</v>
      </c>
      <c r="E601" s="167" t="s">
        <v>54</v>
      </c>
      <c r="F601" s="167" t="s">
        <v>1321</v>
      </c>
      <c r="G601" s="167" t="s">
        <v>226</v>
      </c>
    </row>
    <row r="602">
      <c r="A602" s="167" t="s">
        <v>1322</v>
      </c>
      <c r="B602" s="167" t="str">
        <f>IFERROR(__xludf.DUMMYFUNCTION("GOOGLEFINANCE(A602,""Name"")"),"Castello Branco Office Park FI Imob FII - Un")</f>
        <v>Castello Branco Office Park FI Imob FII - Un</v>
      </c>
      <c r="C602" s="167" t="s">
        <v>1323</v>
      </c>
      <c r="D602" s="167" t="s">
        <v>1221</v>
      </c>
      <c r="E602" s="167" t="s">
        <v>54</v>
      </c>
      <c r="F602" s="167" t="s">
        <v>223</v>
      </c>
      <c r="G602" s="167" t="s">
        <v>226</v>
      </c>
    </row>
    <row r="603">
      <c r="A603" s="167" t="s">
        <v>1324</v>
      </c>
      <c r="B603" s="167" t="str">
        <f>IFERROR(__xludf.DUMMYFUNCTION("GOOGLEFINANCE(A603,""Name"")"),"FI Imobiliario - Ceo Cyrela Commercial Properties")</f>
        <v>FI Imobiliario - Ceo Cyrela Commercial Properties</v>
      </c>
      <c r="C603" s="167" t="s">
        <v>1325</v>
      </c>
      <c r="D603" s="167" t="s">
        <v>1221</v>
      </c>
      <c r="E603" s="167" t="s">
        <v>54</v>
      </c>
      <c r="F603" s="167" t="s">
        <v>1225</v>
      </c>
      <c r="G603" s="167" t="s">
        <v>226</v>
      </c>
    </row>
    <row r="604">
      <c r="A604" s="167" t="s">
        <v>1326</v>
      </c>
      <c r="B604" s="167" t="str">
        <f>IFERROR(__xludf.DUMMYFUNCTION("GOOGLEFINANCE(A604,""Name"")"),"#N/A")</f>
        <v>#N/A</v>
      </c>
      <c r="C604" s="167" t="s">
        <v>1327</v>
      </c>
      <c r="D604" s="167" t="s">
        <v>1221</v>
      </c>
      <c r="E604" s="167" t="s">
        <v>54</v>
      </c>
      <c r="F604" s="167" t="s">
        <v>1225</v>
      </c>
      <c r="G604" s="167" t="s">
        <v>226</v>
      </c>
    </row>
    <row r="605">
      <c r="A605" s="167" t="s">
        <v>1328</v>
      </c>
      <c r="B605" s="167" t="str">
        <f>IFERROR(__xludf.DUMMYFUNCTION("GOOGLEFINANCE(A605,""Name"")"),"FI Imobiliario - FII CENESP")</f>
        <v>FI Imobiliario - FII CENESP</v>
      </c>
      <c r="C605" s="167" t="s">
        <v>1329</v>
      </c>
      <c r="D605" s="167" t="s">
        <v>1221</v>
      </c>
      <c r="E605" s="167" t="s">
        <v>54</v>
      </c>
      <c r="F605" s="167" t="s">
        <v>1225</v>
      </c>
      <c r="G605" s="167" t="s">
        <v>226</v>
      </c>
    </row>
    <row r="606">
      <c r="A606" s="167" t="s">
        <v>1330</v>
      </c>
      <c r="B606" s="167" t="str">
        <f>IFERROR(__xludf.DUMMYFUNCTION("GOOGLEFINANCE(A606,""Name"")"),"#N/A")</f>
        <v>#N/A</v>
      </c>
      <c r="C606" s="167" t="s">
        <v>1331</v>
      </c>
      <c r="D606" s="167" t="s">
        <v>1217</v>
      </c>
      <c r="E606" s="167" t="s">
        <v>54</v>
      </c>
      <c r="F606" s="167" t="s">
        <v>1225</v>
      </c>
      <c r="G606" s="167" t="s">
        <v>226</v>
      </c>
    </row>
    <row r="607">
      <c r="A607" s="167" t="s">
        <v>1332</v>
      </c>
      <c r="B607" s="167" t="str">
        <f>IFERROR(__xludf.DUMMYFUNCTION("GOOGLEFINANCE(A607,""Name"")"),"#N/A")</f>
        <v>#N/A</v>
      </c>
      <c r="C607" s="167" t="s">
        <v>1333</v>
      </c>
      <c r="D607" s="167" t="s">
        <v>1213</v>
      </c>
      <c r="E607" s="167" t="s">
        <v>54</v>
      </c>
      <c r="F607" s="167" t="s">
        <v>1225</v>
      </c>
      <c r="G607" s="167" t="s">
        <v>226</v>
      </c>
    </row>
    <row r="608">
      <c r="A608" s="167" t="s">
        <v>1334</v>
      </c>
      <c r="B608" s="167" t="str">
        <f>IFERROR(__xludf.DUMMYFUNCTION("GOOGLEFINANCE(A608,""Name"")"),"Caixa Rio Bravo FF de Investimento Imobiliario II")</f>
        <v>Caixa Rio Bravo FF de Investimento Imobiliario II</v>
      </c>
      <c r="C608" s="167" t="s">
        <v>1335</v>
      </c>
      <c r="D608" s="167" t="s">
        <v>1217</v>
      </c>
      <c r="E608" s="167" t="s">
        <v>54</v>
      </c>
      <c r="F608" s="167" t="s">
        <v>1336</v>
      </c>
      <c r="G608" s="167" t="s">
        <v>226</v>
      </c>
    </row>
    <row r="609">
      <c r="A609" s="167" t="s">
        <v>1337</v>
      </c>
      <c r="B609" s="167" t="str">
        <f>IFERROR(__xludf.DUMMYFUNCTION("GOOGLEFINANCE(A609,""Name"")"),"FI Imobiliario Centro Textil Internacional")</f>
        <v>FI Imobiliario Centro Textil Internacional</v>
      </c>
      <c r="C609" s="167" t="s">
        <v>1338</v>
      </c>
      <c r="D609" s="167" t="s">
        <v>1221</v>
      </c>
      <c r="E609" s="167" t="s">
        <v>54</v>
      </c>
      <c r="F609" s="167" t="s">
        <v>1210</v>
      </c>
      <c r="G609" s="167" t="s">
        <v>226</v>
      </c>
    </row>
    <row r="610">
      <c r="A610" s="167" t="s">
        <v>1339</v>
      </c>
      <c r="B610" s="167" t="str">
        <f>IFERROR(__xludf.DUMMYFUNCTION("GOOGLEFINANCE(A610,""Name"")"),"#N/A")</f>
        <v>#N/A</v>
      </c>
      <c r="C610" s="167" t="s">
        <v>1340</v>
      </c>
      <c r="D610" s="167" t="s">
        <v>1213</v>
      </c>
      <c r="E610" s="167" t="s">
        <v>54</v>
      </c>
      <c r="F610" s="167" t="s">
        <v>1218</v>
      </c>
      <c r="G610" s="167" t="s">
        <v>226</v>
      </c>
    </row>
    <row r="611">
      <c r="A611" s="167" t="s">
        <v>1341</v>
      </c>
      <c r="B611" s="167" t="str">
        <f>IFERROR(__xludf.DUMMYFUNCTION("GOOGLEFINANCE(A611,""Name"")"),"#N/A")</f>
        <v>#N/A</v>
      </c>
      <c r="C611" s="167" t="s">
        <v>1342</v>
      </c>
      <c r="D611" s="167" t="s">
        <v>1221</v>
      </c>
      <c r="E611" s="167" t="s">
        <v>54</v>
      </c>
      <c r="F611" s="167" t="s">
        <v>1336</v>
      </c>
      <c r="G611" s="167" t="s">
        <v>226</v>
      </c>
    </row>
    <row r="612">
      <c r="A612" s="167" t="s">
        <v>1343</v>
      </c>
      <c r="B612" s="167" t="str">
        <f>IFERROR(__xludf.DUMMYFUNCTION("GOOGLEFINANCE(A612,""Name"")"),"Caixa Rio Bravo FF de Invest Imobiliario - FII")</f>
        <v>Caixa Rio Bravo FF de Invest Imobiliario - FII</v>
      </c>
      <c r="C612" s="167" t="s">
        <v>1344</v>
      </c>
      <c r="D612" s="167" t="s">
        <v>1217</v>
      </c>
      <c r="E612" s="167" t="s">
        <v>54</v>
      </c>
      <c r="F612" s="167" t="s">
        <v>1336</v>
      </c>
      <c r="G612" s="167" t="s">
        <v>226</v>
      </c>
    </row>
    <row r="613">
      <c r="A613" s="167" t="s">
        <v>1345</v>
      </c>
      <c r="B613" s="167" t="str">
        <f>IFERROR(__xludf.DUMMYFUNCTION("GOOGLEFINANCE(A613,""Name"")"),"FI Imobiliario Caixa Seq Logistica Renda")</f>
        <v>FI Imobiliario Caixa Seq Logistica Renda</v>
      </c>
      <c r="C613" s="167" t="s">
        <v>1346</v>
      </c>
      <c r="D613" s="167" t="s">
        <v>1277</v>
      </c>
      <c r="E613" s="167" t="s">
        <v>54</v>
      </c>
      <c r="F613" s="167" t="s">
        <v>1336</v>
      </c>
      <c r="G613" s="167" t="s">
        <v>226</v>
      </c>
    </row>
    <row r="614">
      <c r="A614" s="167" t="s">
        <v>1347</v>
      </c>
      <c r="B614" s="167" t="str">
        <f>IFERROR(__xludf.DUMMYFUNCTION("GOOGLEFINANCE(A614,""Name"")"),"#N/A")</f>
        <v>#N/A</v>
      </c>
      <c r="C614" s="167" t="s">
        <v>1348</v>
      </c>
      <c r="D614" s="167" t="s">
        <v>1209</v>
      </c>
      <c r="E614" s="167" t="s">
        <v>54</v>
      </c>
      <c r="F614" s="167" t="s">
        <v>1225</v>
      </c>
      <c r="G614" s="167" t="s">
        <v>226</v>
      </c>
    </row>
    <row r="615">
      <c r="A615" s="167" t="s">
        <v>1349</v>
      </c>
      <c r="B615" s="167" t="str">
        <f>IFERROR(__xludf.DUMMYFUNCTION("GOOGLEFINANCE(A615,""Name"")"),"#N/A")</f>
        <v>#N/A</v>
      </c>
      <c r="C615" s="167" t="s">
        <v>1350</v>
      </c>
      <c r="D615" s="167" t="s">
        <v>1221</v>
      </c>
      <c r="E615" s="167" t="s">
        <v>54</v>
      </c>
      <c r="F615" s="167" t="s">
        <v>1321</v>
      </c>
      <c r="G615" s="167" t="s">
        <v>226</v>
      </c>
    </row>
    <row r="616">
      <c r="A616" s="167" t="s">
        <v>1351</v>
      </c>
      <c r="B616" s="167" t="str">
        <f>IFERROR(__xludf.DUMMYFUNCTION("GOOGLEFINANCE(A616,""Name"")"),"#N/A")</f>
        <v>#N/A</v>
      </c>
      <c r="C616" s="167" t="s">
        <v>1352</v>
      </c>
      <c r="D616" s="167" t="s">
        <v>1306</v>
      </c>
      <c r="E616" s="167" t="s">
        <v>54</v>
      </c>
      <c r="F616" s="167" t="s">
        <v>1239</v>
      </c>
      <c r="G616" s="167" t="s">
        <v>226</v>
      </c>
    </row>
    <row r="617">
      <c r="A617" s="167" t="s">
        <v>1353</v>
      </c>
      <c r="B617" s="167" t="str">
        <f>IFERROR(__xludf.DUMMYFUNCTION("GOOGLEFINANCE(A617,""Name"")"),"#N/A")</f>
        <v>#N/A</v>
      </c>
      <c r="C617" s="167" t="s">
        <v>54</v>
      </c>
      <c r="D617" s="167" t="s">
        <v>1221</v>
      </c>
      <c r="E617" s="167" t="s">
        <v>54</v>
      </c>
      <c r="F617" s="167" t="s">
        <v>1354</v>
      </c>
      <c r="G617" s="167" t="s">
        <v>226</v>
      </c>
    </row>
    <row r="618">
      <c r="A618" s="167" t="s">
        <v>1355</v>
      </c>
      <c r="B618" s="167" t="str">
        <f>IFERROR(__xludf.DUMMYFUNCTION("GOOGLEFINANCE(A618,""Name"")"),"#N/A")</f>
        <v>#N/A</v>
      </c>
      <c r="C618" s="167" t="s">
        <v>1356</v>
      </c>
      <c r="D618" s="167" t="s">
        <v>1221</v>
      </c>
      <c r="E618" s="167" t="s">
        <v>54</v>
      </c>
      <c r="F618" s="167" t="s">
        <v>1357</v>
      </c>
      <c r="G618" s="167" t="s">
        <v>226</v>
      </c>
    </row>
    <row r="619">
      <c r="A619" s="167" t="s">
        <v>1358</v>
      </c>
      <c r="B619" s="167" t="str">
        <f>IFERROR(__xludf.DUMMYFUNCTION("GOOGLEFINANCE(A619,""Name"")"),"#N/A")</f>
        <v>#N/A</v>
      </c>
      <c r="C619" s="167" t="s">
        <v>1359</v>
      </c>
      <c r="D619" s="167" t="s">
        <v>1221</v>
      </c>
      <c r="E619" s="167" t="s">
        <v>54</v>
      </c>
      <c r="F619" s="167" t="s">
        <v>1360</v>
      </c>
      <c r="G619" s="167" t="s">
        <v>226</v>
      </c>
    </row>
    <row r="620">
      <c r="A620" s="167" t="s">
        <v>1361</v>
      </c>
      <c r="B620" s="167" t="str">
        <f>IFERROR(__xludf.DUMMYFUNCTION("GOOGLEFINANCE(A620,""Name"")"),"#N/A")</f>
        <v>#N/A</v>
      </c>
      <c r="C620" s="167" t="s">
        <v>1362</v>
      </c>
      <c r="D620" s="167" t="s">
        <v>1221</v>
      </c>
      <c r="E620" s="167" t="s">
        <v>54</v>
      </c>
      <c r="F620" s="167" t="s">
        <v>1239</v>
      </c>
      <c r="G620" s="167" t="s">
        <v>226</v>
      </c>
    </row>
    <row r="621">
      <c r="A621" s="167" t="s">
        <v>1363</v>
      </c>
      <c r="B621" s="167" t="str">
        <f>IFERROR(__xludf.DUMMYFUNCTION("GOOGLEFINANCE(A621,""Name"")"),"FI Imobiliario - FII Edificio Galeria")</f>
        <v>FI Imobiliario - FII Edificio Galeria</v>
      </c>
      <c r="C621" s="167" t="s">
        <v>1364</v>
      </c>
      <c r="D621" s="167" t="s">
        <v>1221</v>
      </c>
      <c r="E621" s="167" t="s">
        <v>54</v>
      </c>
      <c r="F621" s="167" t="s">
        <v>1225</v>
      </c>
      <c r="G621" s="167" t="s">
        <v>226</v>
      </c>
    </row>
    <row r="622">
      <c r="A622" s="167" t="s">
        <v>1365</v>
      </c>
      <c r="B622" s="167" t="str">
        <f>IFERROR(__xludf.DUMMYFUNCTION("GOOGLEFINANCE(A622,""Name"")"),"#N/A")</f>
        <v>#N/A</v>
      </c>
      <c r="C622" s="167" t="s">
        <v>1366</v>
      </c>
      <c r="D622" s="167" t="s">
        <v>1209</v>
      </c>
      <c r="E622" s="167" t="s">
        <v>54</v>
      </c>
      <c r="F622" s="167" t="s">
        <v>1210</v>
      </c>
      <c r="G622" s="167" t="s">
        <v>226</v>
      </c>
    </row>
    <row r="623">
      <c r="A623" s="167" t="s">
        <v>1367</v>
      </c>
      <c r="B623" s="167" t="str">
        <f>IFERROR(__xludf.DUMMYFUNCTION("GOOGLEFINANCE(A623,""Name"")"),"Europa 105 - Fundo de Investimento Imobiliario")</f>
        <v>Europa 105 - Fundo de Investimento Imobiliario</v>
      </c>
      <c r="C623" s="167" t="s">
        <v>1368</v>
      </c>
      <c r="D623" s="167" t="s">
        <v>1221</v>
      </c>
      <c r="E623" s="167" t="s">
        <v>54</v>
      </c>
      <c r="F623" s="167" t="s">
        <v>1239</v>
      </c>
      <c r="G623" s="167" t="s">
        <v>226</v>
      </c>
    </row>
    <row r="624">
      <c r="A624" s="167" t="s">
        <v>1369</v>
      </c>
      <c r="B624" s="167" t="str">
        <f>IFERROR(__xludf.DUMMYFUNCTION("GOOGLEFINANCE(A624,""Name"")"),"#N/A")</f>
        <v>#N/A</v>
      </c>
      <c r="C624" s="167" t="s">
        <v>1370</v>
      </c>
      <c r="D624" s="167" t="s">
        <v>1221</v>
      </c>
      <c r="E624" s="167" t="s">
        <v>54</v>
      </c>
      <c r="F624" s="167" t="s">
        <v>1239</v>
      </c>
      <c r="G624" s="167" t="s">
        <v>226</v>
      </c>
    </row>
    <row r="625">
      <c r="A625" s="167" t="s">
        <v>1371</v>
      </c>
      <c r="B625" s="167" t="str">
        <f>IFERROR(__xludf.DUMMYFUNCTION("GOOGLEFINANCE(A625,""Name"")"),"Fundo de Investimento Imobiliario Europar - FII")</f>
        <v>Fundo de Investimento Imobiliario Europar - FII</v>
      </c>
      <c r="C625" s="167" t="s">
        <v>1372</v>
      </c>
      <c r="D625" s="167" t="s">
        <v>1277</v>
      </c>
      <c r="E625" s="167" t="s">
        <v>54</v>
      </c>
      <c r="F625" s="167" t="s">
        <v>1373</v>
      </c>
      <c r="G625" s="167" t="s">
        <v>226</v>
      </c>
    </row>
    <row r="626">
      <c r="A626" s="167" t="s">
        <v>1374</v>
      </c>
      <c r="B626" s="167" t="str">
        <f>IFERROR(__xludf.DUMMYFUNCTION("GOOGLEFINANCE(A626,""Name"")"),"FI Imobiliario Anhanguera Educacional")</f>
        <v>FI Imobiliario Anhanguera Educacional</v>
      </c>
      <c r="C626" s="167" t="s">
        <v>1375</v>
      </c>
      <c r="D626" s="167" t="s">
        <v>1376</v>
      </c>
      <c r="E626" s="167" t="s">
        <v>54</v>
      </c>
      <c r="F626" s="167" t="s">
        <v>1225</v>
      </c>
      <c r="G626" s="167" t="s">
        <v>226</v>
      </c>
    </row>
    <row r="627">
      <c r="A627" s="167" t="s">
        <v>1377</v>
      </c>
      <c r="B627" s="167" t="str">
        <f>IFERROR(__xludf.DUMMYFUNCTION("GOOGLEFINANCE(A627,""Name"")"),"#N/A")</f>
        <v>#N/A</v>
      </c>
      <c r="C627" s="167" t="s">
        <v>1378</v>
      </c>
      <c r="D627" s="167" t="s">
        <v>1221</v>
      </c>
      <c r="E627" s="167" t="s">
        <v>54</v>
      </c>
      <c r="F627" s="167" t="s">
        <v>1225</v>
      </c>
      <c r="G627" s="167" t="s">
        <v>226</v>
      </c>
    </row>
    <row r="628">
      <c r="A628" s="167" t="s">
        <v>1379</v>
      </c>
      <c r="B628" s="167" t="str">
        <f>IFERROR(__xludf.DUMMYFUNCTION("GOOGLEFINANCE(A628,""Name"")"),"BRC Renda Corporativa FII - Un")</f>
        <v>BRC Renda Corporativa FII - Un</v>
      </c>
      <c r="C628" s="167" t="s">
        <v>1380</v>
      </c>
      <c r="D628" s="167" t="s">
        <v>1228</v>
      </c>
      <c r="E628" s="167" t="s">
        <v>54</v>
      </c>
      <c r="F628" s="167" t="s">
        <v>1300</v>
      </c>
      <c r="G628" s="167" t="s">
        <v>226</v>
      </c>
    </row>
    <row r="629">
      <c r="A629" s="167" t="s">
        <v>1381</v>
      </c>
      <c r="B629" s="167" t="str">
        <f>IFERROR(__xludf.DUMMYFUNCTION("GOOGLEFINANCE(A629,""Name"")"),"#N/A")</f>
        <v>#N/A</v>
      </c>
      <c r="C629" s="167" t="s">
        <v>1382</v>
      </c>
      <c r="D629" s="167" t="s">
        <v>1221</v>
      </c>
      <c r="E629" s="167" t="s">
        <v>54</v>
      </c>
      <c r="F629" s="167" t="s">
        <v>1225</v>
      </c>
      <c r="G629" s="167" t="s">
        <v>226</v>
      </c>
    </row>
    <row r="630">
      <c r="A630" s="167" t="s">
        <v>1383</v>
      </c>
      <c r="B630" s="167" t="str">
        <f>IFERROR(__xludf.DUMMYFUNCTION("GOOGLEFINANCE(A630,""Name"")"),"FI Imobiliario Campus Faria Lima")</f>
        <v>FI Imobiliario Campus Faria Lima</v>
      </c>
      <c r="C630" s="167" t="s">
        <v>1384</v>
      </c>
      <c r="D630" s="167" t="s">
        <v>1376</v>
      </c>
      <c r="E630" s="167" t="s">
        <v>54</v>
      </c>
      <c r="F630" s="167" t="s">
        <v>1225</v>
      </c>
      <c r="G630" s="167" t="s">
        <v>226</v>
      </c>
    </row>
    <row r="631">
      <c r="A631" s="167" t="s">
        <v>1385</v>
      </c>
      <c r="B631" s="167" t="str">
        <f>IFERROR(__xludf.DUMMYFUNCTION("GOOGLEFINANCE(A631,""Name"")"),"#N/A")</f>
        <v>#N/A</v>
      </c>
      <c r="C631" s="167" t="s">
        <v>1386</v>
      </c>
      <c r="D631" s="167" t="s">
        <v>1213</v>
      </c>
      <c r="E631" s="167" t="s">
        <v>54</v>
      </c>
      <c r="F631" s="167" t="s">
        <v>1225</v>
      </c>
      <c r="G631" s="167" t="s">
        <v>226</v>
      </c>
    </row>
    <row r="632">
      <c r="A632" s="167" t="s">
        <v>1387</v>
      </c>
      <c r="B632" s="167" t="str">
        <f>IFERROR(__xludf.DUMMYFUNCTION("GOOGLEFINANCE(A632,""Name"")"),"General Shopping Ativo e Renda FII - Un")</f>
        <v>General Shopping Ativo e Renda FII - Un</v>
      </c>
      <c r="C632" s="167" t="s">
        <v>1388</v>
      </c>
      <c r="D632" s="167" t="s">
        <v>1209</v>
      </c>
      <c r="E632" s="167" t="s">
        <v>54</v>
      </c>
      <c r="F632" s="167" t="s">
        <v>1246</v>
      </c>
      <c r="G632" s="167" t="s">
        <v>226</v>
      </c>
    </row>
    <row r="633">
      <c r="A633" s="167" t="s">
        <v>1389</v>
      </c>
      <c r="B633" s="167" t="str">
        <f>IFERROR(__xludf.DUMMYFUNCTION("GOOGLEFINANCE(A633,""Name"")"),"FII Industrial do Brasil - Un")</f>
        <v>FII Industrial do Brasil - Un</v>
      </c>
      <c r="C633" s="167" t="s">
        <v>1390</v>
      </c>
      <c r="D633" s="167" t="s">
        <v>1277</v>
      </c>
      <c r="E633" s="167" t="s">
        <v>54</v>
      </c>
      <c r="F633" s="167" t="s">
        <v>1373</v>
      </c>
      <c r="G633" s="167" t="s">
        <v>226</v>
      </c>
    </row>
    <row r="634">
      <c r="A634" s="167" t="s">
        <v>1391</v>
      </c>
      <c r="B634" s="167" t="str">
        <f>IFERROR(__xludf.DUMMYFUNCTION("GOOGLEFINANCE(A634,""Name"")"),"#N/A")</f>
        <v>#N/A</v>
      </c>
      <c r="C634" s="167" t="s">
        <v>1392</v>
      </c>
      <c r="D634" s="167" t="s">
        <v>1228</v>
      </c>
      <c r="E634" s="167" t="s">
        <v>54</v>
      </c>
      <c r="F634" s="167" t="s">
        <v>1239</v>
      </c>
      <c r="G634" s="167" t="s">
        <v>226</v>
      </c>
    </row>
    <row r="635">
      <c r="A635" s="167" t="s">
        <v>1393</v>
      </c>
      <c r="B635" s="167" t="str">
        <f>IFERROR(__xludf.DUMMYFUNCTION("GOOGLEFINANCE(A635,""Name"")"),"FII Infra Real Estate - FII")</f>
        <v>FII Infra Real Estate - FII</v>
      </c>
      <c r="C635" s="167" t="s">
        <v>1394</v>
      </c>
      <c r="D635" s="167" t="s">
        <v>1277</v>
      </c>
      <c r="E635" s="167" t="s">
        <v>54</v>
      </c>
      <c r="F635" s="167" t="s">
        <v>1321</v>
      </c>
      <c r="G635" s="167" t="s">
        <v>226</v>
      </c>
    </row>
    <row r="636">
      <c r="A636" s="167" t="s">
        <v>1395</v>
      </c>
      <c r="B636" s="167" t="str">
        <f>IFERROR(__xludf.DUMMYFUNCTION("GOOGLEFINANCE(A636,""Name"")"),"FI Imobiliario SC 401")</f>
        <v>FI Imobiliario SC 401</v>
      </c>
      <c r="C636" s="167" t="s">
        <v>1396</v>
      </c>
      <c r="D636" s="167" t="s">
        <v>1221</v>
      </c>
      <c r="E636" s="167" t="s">
        <v>54</v>
      </c>
      <c r="F636" s="167" t="s">
        <v>1300</v>
      </c>
      <c r="G636" s="167" t="s">
        <v>226</v>
      </c>
    </row>
    <row r="637">
      <c r="A637" s="167" t="s">
        <v>1397</v>
      </c>
      <c r="B637" s="167" t="str">
        <f>IFERROR(__xludf.DUMMYFUNCTION("GOOGLEFINANCE(A637,""Name"")"),"Sao Domingos Fundo Investimento Imobiliario")</f>
        <v>Sao Domingos Fundo Investimento Imobiliario</v>
      </c>
      <c r="C637" s="167" t="s">
        <v>1398</v>
      </c>
      <c r="D637" s="167" t="s">
        <v>1213</v>
      </c>
      <c r="E637" s="167" t="s">
        <v>54</v>
      </c>
      <c r="F637" s="167" t="s">
        <v>1236</v>
      </c>
      <c r="G637" s="167" t="s">
        <v>226</v>
      </c>
    </row>
    <row r="638">
      <c r="A638" s="167" t="s">
        <v>1399</v>
      </c>
      <c r="B638" s="167" t="str">
        <f>IFERROR(__xludf.DUMMYFUNCTION("GOOGLEFINANCE(A638,""Name"")"),"FII Vida Nova")</f>
        <v>FII Vida Nova</v>
      </c>
      <c r="C638" s="167" t="s">
        <v>1400</v>
      </c>
      <c r="D638" s="167" t="s">
        <v>1209</v>
      </c>
      <c r="E638" s="167" t="s">
        <v>54</v>
      </c>
      <c r="F638" s="167" t="s">
        <v>1239</v>
      </c>
      <c r="G638" s="167" t="s">
        <v>226</v>
      </c>
    </row>
    <row r="639">
      <c r="A639" s="167" t="s">
        <v>1401</v>
      </c>
      <c r="B639" s="167" t="str">
        <f>IFERROR(__xludf.DUMMYFUNCTION("GOOGLEFINANCE(A639,""Name"")"),"Faria Lima Capital Recebiveis Imobiliarios I - FII")</f>
        <v>Faria Lima Capital Recebiveis Imobiliarios I - FII</v>
      </c>
      <c r="C639" s="167" t="s">
        <v>1402</v>
      </c>
      <c r="D639" s="167" t="s">
        <v>1213</v>
      </c>
      <c r="E639" s="167" t="s">
        <v>54</v>
      </c>
      <c r="F639" s="167" t="s">
        <v>1218</v>
      </c>
      <c r="G639" s="167" t="s">
        <v>226</v>
      </c>
    </row>
    <row r="640">
      <c r="A640" s="167" t="s">
        <v>1403</v>
      </c>
      <c r="B640" s="167" t="str">
        <f>IFERROR(__xludf.DUMMYFUNCTION("GOOGLEFINANCE(A640,""Name"")"),"FI Imobiliario Continental Square Faria Lima")</f>
        <v>FI Imobiliario Continental Square Faria Lima</v>
      </c>
      <c r="C640" s="167" t="s">
        <v>1404</v>
      </c>
      <c r="D640" s="167" t="s">
        <v>1221</v>
      </c>
      <c r="E640" s="167" t="s">
        <v>54</v>
      </c>
      <c r="F640" s="167" t="s">
        <v>1300</v>
      </c>
      <c r="G640" s="167" t="s">
        <v>226</v>
      </c>
    </row>
    <row r="641">
      <c r="A641" s="167" t="s">
        <v>1405</v>
      </c>
      <c r="B641" s="167" t="str">
        <f>IFERROR(__xludf.DUMMYFUNCTION("GOOGLEFINANCE(A641,""Name"")"),"Hedge Floripa Shopping FII - Unica")</f>
        <v>Hedge Floripa Shopping FII - Unica</v>
      </c>
      <c r="C641" s="167" t="s">
        <v>1406</v>
      </c>
      <c r="D641" s="167" t="s">
        <v>1209</v>
      </c>
      <c r="E641" s="167" t="s">
        <v>54</v>
      </c>
      <c r="F641" s="167" t="s">
        <v>1225</v>
      </c>
      <c r="G641" s="167" t="s">
        <v>226</v>
      </c>
    </row>
    <row r="642">
      <c r="A642" s="167" t="s">
        <v>1407</v>
      </c>
      <c r="B642" s="167" t="str">
        <f>IFERROR(__xludf.DUMMYFUNCTION("GOOGLEFINANCE(A642,""Name"")"),"FII Memorial Office RL - Unica")</f>
        <v>FII Memorial Office RL - Unica</v>
      </c>
      <c r="C642" s="167" t="s">
        <v>1408</v>
      </c>
      <c r="D642" s="167" t="s">
        <v>1221</v>
      </c>
      <c r="E642" s="167" t="s">
        <v>54</v>
      </c>
      <c r="F642" s="167" t="s">
        <v>1373</v>
      </c>
      <c r="G642" s="167" t="s">
        <v>226</v>
      </c>
    </row>
    <row r="643">
      <c r="A643" s="167" t="s">
        <v>1409</v>
      </c>
      <c r="B643" s="167" t="str">
        <f>IFERROR(__xludf.DUMMYFUNCTION("GOOGLEFINANCE(A643,""Name"")"),"#N/A")</f>
        <v>#N/A</v>
      </c>
      <c r="C643" s="167" t="s">
        <v>1410</v>
      </c>
      <c r="D643" s="167" t="s">
        <v>1217</v>
      </c>
      <c r="E643" s="167" t="s">
        <v>54</v>
      </c>
      <c r="F643" s="167" t="s">
        <v>1246</v>
      </c>
      <c r="G643" s="167" t="s">
        <v>226</v>
      </c>
    </row>
    <row r="644">
      <c r="A644" s="167" t="s">
        <v>1411</v>
      </c>
      <c r="B644" s="167" t="str">
        <f>IFERROR(__xludf.DUMMYFUNCTION("GOOGLEFINANCE(A644,""Name"")"),"FI Imobiliario Projeto Agua Branca - Un")</f>
        <v>FI Imobiliario Projeto Agua Branca - Un</v>
      </c>
      <c r="C644" s="167" t="s">
        <v>1412</v>
      </c>
      <c r="D644" s="167" t="s">
        <v>1221</v>
      </c>
      <c r="E644" s="167" t="s">
        <v>54</v>
      </c>
      <c r="F644" s="167" t="s">
        <v>1373</v>
      </c>
      <c r="G644" s="167" t="s">
        <v>226</v>
      </c>
    </row>
    <row r="645">
      <c r="A645" s="167" t="s">
        <v>1413</v>
      </c>
      <c r="B645" s="167" t="str">
        <f>IFERROR(__xludf.DUMMYFUNCTION("GOOGLEFINANCE(A645,""Name"")"),"FII Pedra Negra Renda Imobiliaria RL")</f>
        <v>FII Pedra Negra Renda Imobiliaria RL</v>
      </c>
      <c r="C645" s="167" t="s">
        <v>1414</v>
      </c>
      <c r="D645" s="167" t="s">
        <v>1221</v>
      </c>
      <c r="E645" s="167" t="s">
        <v>54</v>
      </c>
      <c r="F645" s="167" t="s">
        <v>1300</v>
      </c>
      <c r="G645" s="167" t="s">
        <v>226</v>
      </c>
    </row>
    <row r="646">
      <c r="A646" s="167" t="s">
        <v>1415</v>
      </c>
      <c r="B646" s="167" t="str">
        <f>IFERROR(__xludf.DUMMYFUNCTION("GOOGLEFINANCE(A646,""Name"")"),"#N/A")</f>
        <v>#N/A</v>
      </c>
      <c r="C646" s="167" t="s">
        <v>1416</v>
      </c>
      <c r="D646" s="167" t="s">
        <v>1221</v>
      </c>
      <c r="E646" s="167" t="s">
        <v>54</v>
      </c>
      <c r="F646" s="167" t="s">
        <v>1218</v>
      </c>
      <c r="G646" s="167" t="s">
        <v>226</v>
      </c>
    </row>
    <row r="647">
      <c r="A647" s="167" t="s">
        <v>1417</v>
      </c>
      <c r="B647" s="167" t="str">
        <f>IFERROR(__xludf.DUMMYFUNCTION("GOOGLEFINANCE(A647,""Name"")"),"#N/A")</f>
        <v>#N/A</v>
      </c>
      <c r="C647" s="167" t="s">
        <v>1418</v>
      </c>
      <c r="D647" s="167" t="s">
        <v>1213</v>
      </c>
      <c r="E647" s="167" t="s">
        <v>54</v>
      </c>
      <c r="F647" s="167" t="s">
        <v>1243</v>
      </c>
      <c r="G647" s="167" t="s">
        <v>226</v>
      </c>
    </row>
    <row r="648">
      <c r="A648" s="167" t="s">
        <v>1419</v>
      </c>
      <c r="B648" s="167" t="str">
        <f>IFERROR(__xludf.DUMMYFUNCTION("GOOGLEFINANCE(A648,""Name"")"),"#N/A")</f>
        <v>#N/A</v>
      </c>
      <c r="C648" s="167" t="s">
        <v>1420</v>
      </c>
      <c r="D648" s="167" t="s">
        <v>1221</v>
      </c>
      <c r="E648" s="167" t="s">
        <v>54</v>
      </c>
      <c r="F648" s="167" t="s">
        <v>1225</v>
      </c>
      <c r="G648" s="167" t="s">
        <v>226</v>
      </c>
    </row>
    <row r="649">
      <c r="A649" s="167" t="s">
        <v>1421</v>
      </c>
      <c r="B649" s="167" t="str">
        <f>IFERROR(__xludf.DUMMYFUNCTION("GOOGLEFINANCE(A649,""Name"")"),"FI Imobiliario Via Parque Shopping-FII")</f>
        <v>FI Imobiliario Via Parque Shopping-FII</v>
      </c>
      <c r="C649" s="167" t="s">
        <v>1422</v>
      </c>
      <c r="D649" s="167" t="s">
        <v>1209</v>
      </c>
      <c r="E649" s="167" t="s">
        <v>54</v>
      </c>
      <c r="F649" s="167" t="s">
        <v>1210</v>
      </c>
      <c r="G649" s="167" t="s">
        <v>226</v>
      </c>
    </row>
    <row r="650">
      <c r="A650" s="167" t="s">
        <v>1423</v>
      </c>
      <c r="B650" s="167" t="str">
        <f>IFERROR(__xludf.DUMMYFUNCTION("GOOGLEFINANCE(A650,""Name"")"),"#N/A")</f>
        <v>#N/A</v>
      </c>
      <c r="C650" s="167" t="s">
        <v>1424</v>
      </c>
      <c r="D650" s="167" t="s">
        <v>1217</v>
      </c>
      <c r="E650" s="167" t="s">
        <v>54</v>
      </c>
      <c r="F650" s="167" t="s">
        <v>1225</v>
      </c>
      <c r="G650" s="167" t="s">
        <v>226</v>
      </c>
    </row>
    <row r="651">
      <c r="A651" s="167" t="s">
        <v>1425</v>
      </c>
      <c r="B651" s="167" t="str">
        <f>IFERROR(__xludf.DUMMYFUNCTION("GOOGLEFINANCE(A651,""Name"")"),"#N/A")</f>
        <v>#N/A</v>
      </c>
      <c r="C651" s="167" t="s">
        <v>1426</v>
      </c>
      <c r="D651" s="167" t="s">
        <v>1020</v>
      </c>
      <c r="E651" s="167" t="s">
        <v>54</v>
      </c>
      <c r="F651" s="167" t="s">
        <v>1239</v>
      </c>
      <c r="G651" s="167" t="s">
        <v>226</v>
      </c>
    </row>
    <row r="652">
      <c r="A652" s="167" t="s">
        <v>1427</v>
      </c>
      <c r="B652" s="167" t="str">
        <f>IFERROR(__xludf.DUMMYFUNCTION("GOOGLEFINANCE(A652,""Name"")"),"GGR Covepi Renda FII - RL")</f>
        <v>GGR Covepi Renda FII - RL</v>
      </c>
      <c r="C652" s="167" t="s">
        <v>1428</v>
      </c>
      <c r="D652" s="167" t="s">
        <v>1277</v>
      </c>
      <c r="E652" s="167" t="s">
        <v>54</v>
      </c>
      <c r="F652" s="167" t="s">
        <v>1214</v>
      </c>
      <c r="G652" s="167" t="s">
        <v>226</v>
      </c>
    </row>
    <row r="653">
      <c r="A653" s="167" t="s">
        <v>1429</v>
      </c>
      <c r="B653" s="167" t="str">
        <f>IFERROR(__xludf.DUMMYFUNCTION("GOOGLEFINANCE(A653,""Name"")"),"#N/A")</f>
        <v>#N/A</v>
      </c>
      <c r="C653" s="167" t="s">
        <v>1430</v>
      </c>
      <c r="D653" s="167" t="s">
        <v>1277</v>
      </c>
      <c r="E653" s="167" t="s">
        <v>54</v>
      </c>
      <c r="F653" s="167" t="s">
        <v>223</v>
      </c>
      <c r="G653" s="167" t="s">
        <v>226</v>
      </c>
    </row>
    <row r="654">
      <c r="A654" s="167" t="s">
        <v>1431</v>
      </c>
      <c r="B654" s="167" t="str">
        <f>IFERROR(__xludf.DUMMYFUNCTION("GOOGLEFINANCE(A654,""Name"")"),"General Shopping e Outlets do Brasil FII Unica")</f>
        <v>General Shopping e Outlets do Brasil FII Unica</v>
      </c>
      <c r="C654" s="167" t="s">
        <v>1432</v>
      </c>
      <c r="D654" s="167" t="s">
        <v>1209</v>
      </c>
      <c r="E654" s="167" t="s">
        <v>54</v>
      </c>
      <c r="F654" s="167" t="s">
        <v>1321</v>
      </c>
      <c r="G654" s="167" t="s">
        <v>226</v>
      </c>
    </row>
    <row r="655">
      <c r="A655" s="167" t="s">
        <v>1433</v>
      </c>
      <c r="B655" s="167" t="str">
        <f>IFERROR(__xludf.DUMMYFUNCTION("GOOGLEFINANCE(A655,""Name"")"),"Fundo Investimento Imobiliario Green Towers")</f>
        <v>Fundo Investimento Imobiliario Green Towers</v>
      </c>
      <c r="C655" s="167" t="s">
        <v>1434</v>
      </c>
      <c r="D655" s="167" t="s">
        <v>1221</v>
      </c>
      <c r="E655" s="167" t="s">
        <v>54</v>
      </c>
      <c r="F655" s="167" t="s">
        <v>1257</v>
      </c>
      <c r="G655" s="167" t="s">
        <v>226</v>
      </c>
    </row>
    <row r="656">
      <c r="A656" s="167" t="s">
        <v>1435</v>
      </c>
      <c r="B656" s="167" t="str">
        <f>IFERROR(__xludf.DUMMYFUNCTION("GOOGLEFINANCE(A656,""Name"")"),"#N/A")</f>
        <v>#N/A</v>
      </c>
      <c r="C656" s="167"/>
      <c r="D656" s="167" t="s">
        <v>1277</v>
      </c>
      <c r="E656" s="167" t="s">
        <v>54</v>
      </c>
      <c r="F656" s="167" t="s">
        <v>1225</v>
      </c>
      <c r="G656" s="167" t="s">
        <v>226</v>
      </c>
    </row>
    <row r="657">
      <c r="A657" s="167" t="s">
        <v>1436</v>
      </c>
      <c r="B657" s="167" t="str">
        <f>IFERROR(__xludf.DUMMYFUNCTION("GOOGLEFINANCE(A657,""Name"")"),"Hedge AAA Fundo de Investimento Imobiliario - Un")</f>
        <v>Hedge AAA Fundo de Investimento Imobiliario - Un</v>
      </c>
      <c r="C657" s="167" t="s">
        <v>1437</v>
      </c>
      <c r="D657" s="167" t="s">
        <v>1221</v>
      </c>
      <c r="E657" s="167" t="s">
        <v>54</v>
      </c>
      <c r="F657" s="167" t="s">
        <v>1246</v>
      </c>
      <c r="G657" s="167" t="s">
        <v>226</v>
      </c>
    </row>
    <row r="658">
      <c r="A658" s="167" t="s">
        <v>1438</v>
      </c>
      <c r="B658" s="167" t="str">
        <f>IFERROR(__xludf.DUMMYFUNCTION("GOOGLEFINANCE(A658,""Name"")"),"Habitat Recebiveis Pulverizados FII")</f>
        <v>Habitat Recebiveis Pulverizados FII</v>
      </c>
      <c r="C658" s="167" t="s">
        <v>1439</v>
      </c>
      <c r="D658" s="167" t="s">
        <v>1213</v>
      </c>
      <c r="E658" s="167" t="s">
        <v>54</v>
      </c>
      <c r="F658" s="167" t="s">
        <v>1440</v>
      </c>
      <c r="G658" s="167" t="s">
        <v>226</v>
      </c>
    </row>
    <row r="659">
      <c r="A659" s="167" t="s">
        <v>1441</v>
      </c>
      <c r="B659" s="167" t="str">
        <f>IFERROR(__xludf.DUMMYFUNCTION("GOOGLEFINANCE(A659,""Name"")"),"#N/A")</f>
        <v>#N/A</v>
      </c>
      <c r="C659" s="167" t="s">
        <v>1442</v>
      </c>
      <c r="D659" s="167" t="s">
        <v>1221</v>
      </c>
      <c r="E659" s="167" t="s">
        <v>54</v>
      </c>
      <c r="F659" s="167" t="s">
        <v>1218</v>
      </c>
      <c r="G659" s="167" t="s">
        <v>226</v>
      </c>
    </row>
    <row r="660">
      <c r="A660" s="167" t="s">
        <v>1443</v>
      </c>
      <c r="B660" s="167" t="str">
        <f>IFERROR(__xludf.DUMMYFUNCTION("GOOGLEFINANCE(A660,""Name"")"),"#N/A")</f>
        <v>#N/A</v>
      </c>
      <c r="C660" s="167" t="s">
        <v>1444</v>
      </c>
      <c r="D660" s="167" t="s">
        <v>1213</v>
      </c>
      <c r="E660" s="167" t="s">
        <v>54</v>
      </c>
      <c r="F660" s="167" t="s">
        <v>1440</v>
      </c>
      <c r="G660" s="167" t="s">
        <v>226</v>
      </c>
    </row>
    <row r="661">
      <c r="A661" s="167" t="s">
        <v>1445</v>
      </c>
      <c r="B661" s="167" t="str">
        <f>IFERROR(__xludf.DUMMYFUNCTION("GOOGLEFINANCE(A661,""Name"")"),"FII Hospital Da Crianca")</f>
        <v>FII Hospital Da Crianca</v>
      </c>
      <c r="C661" s="167" t="s">
        <v>1446</v>
      </c>
      <c r="D661" s="167" t="s">
        <v>1447</v>
      </c>
      <c r="E661" s="167" t="s">
        <v>54</v>
      </c>
      <c r="F661" s="167" t="s">
        <v>1225</v>
      </c>
      <c r="G661" s="167" t="s">
        <v>226</v>
      </c>
    </row>
    <row r="662">
      <c r="A662" s="167" t="s">
        <v>1448</v>
      </c>
      <c r="B662" s="167" t="str">
        <f>IFERROR(__xludf.DUMMYFUNCTION("GOOGLEFINANCE(A662,""Name"")"),"Hectare CE - FI Imobiliario")</f>
        <v>Hectare CE - FI Imobiliario</v>
      </c>
      <c r="C662" s="167" t="s">
        <v>1449</v>
      </c>
      <c r="D662" s="167" t="s">
        <v>1213</v>
      </c>
      <c r="E662" s="167" t="s">
        <v>54</v>
      </c>
      <c r="F662" s="167" t="s">
        <v>1440</v>
      </c>
      <c r="G662" s="167" t="s">
        <v>226</v>
      </c>
    </row>
    <row r="663">
      <c r="A663" s="167" t="s">
        <v>1450</v>
      </c>
      <c r="B663" s="167" t="str">
        <f>IFERROR(__xludf.DUMMYFUNCTION("GOOGLEFINANCE(A663,""Name"")"),"Hedge Top FOF II 3 FI Imobiliario - Un")</f>
        <v>Hedge Top FOF II 3 FI Imobiliario - Un</v>
      </c>
      <c r="C663" s="167" t="s">
        <v>1451</v>
      </c>
      <c r="D663" s="167" t="s">
        <v>1217</v>
      </c>
      <c r="E663" s="167" t="s">
        <v>54</v>
      </c>
      <c r="F663" s="167" t="s">
        <v>1246</v>
      </c>
      <c r="G663" s="167" t="s">
        <v>226</v>
      </c>
    </row>
    <row r="664">
      <c r="A664" s="167" t="s">
        <v>1452</v>
      </c>
      <c r="B664" s="167" t="str">
        <f>IFERROR(__xludf.DUMMYFUNCTION("GOOGLEFINANCE(A664,""Name"")"),"Hedge Brasil Shopping FI Imobiliario - Un")</f>
        <v>Hedge Brasil Shopping FI Imobiliario - Un</v>
      </c>
      <c r="C664" s="167" t="s">
        <v>1453</v>
      </c>
      <c r="D664" s="167" t="s">
        <v>1209</v>
      </c>
      <c r="E664" s="167" t="s">
        <v>54</v>
      </c>
      <c r="F664" s="167" t="s">
        <v>1246</v>
      </c>
      <c r="G664" s="167" t="s">
        <v>226</v>
      </c>
    </row>
    <row r="665">
      <c r="A665" s="167" t="s">
        <v>1454</v>
      </c>
      <c r="B665" s="167" t="str">
        <f>IFERROR(__xludf.DUMMYFUNCTION("GOOGLEFINANCE(A665,""Name"")"),"Patria Recebiveis Imobiliarios FII RL")</f>
        <v>Patria Recebiveis Imobiliarios FII RL</v>
      </c>
      <c r="C665" s="167" t="s">
        <v>1455</v>
      </c>
      <c r="D665" s="167" t="s">
        <v>1213</v>
      </c>
      <c r="E665" s="167" t="s">
        <v>54</v>
      </c>
      <c r="F665" s="167" t="s">
        <v>223</v>
      </c>
      <c r="G665" s="167" t="s">
        <v>226</v>
      </c>
    </row>
    <row r="666">
      <c r="A666" s="167" t="s">
        <v>1456</v>
      </c>
      <c r="B666" s="167" t="str">
        <f>IFERROR(__xludf.DUMMYFUNCTION("GOOGLEFINANCE(A666,""Name"")"),"#N/A")</f>
        <v>#N/A</v>
      </c>
      <c r="C666" s="167" t="s">
        <v>1457</v>
      </c>
      <c r="D666" s="167" t="s">
        <v>1217</v>
      </c>
      <c r="E666" s="167" t="s">
        <v>54</v>
      </c>
      <c r="F666" s="167" t="s">
        <v>223</v>
      </c>
      <c r="G666" s="167" t="s">
        <v>226</v>
      </c>
    </row>
    <row r="667">
      <c r="A667" s="167" t="s">
        <v>83</v>
      </c>
      <c r="B667" s="167" t="str">
        <f>IFERROR(__xludf.DUMMYFUNCTION("GOOGLEFINANCE(A667,""Name"")"),"Patria Log FII RL")</f>
        <v>Patria Log FII RL</v>
      </c>
      <c r="C667" s="167" t="s">
        <v>1430</v>
      </c>
      <c r="D667" s="167" t="s">
        <v>1277</v>
      </c>
      <c r="E667" s="167" t="s">
        <v>54</v>
      </c>
      <c r="F667" s="167" t="s">
        <v>223</v>
      </c>
      <c r="G667" s="167" t="s">
        <v>226</v>
      </c>
    </row>
    <row r="668">
      <c r="A668" s="167" t="s">
        <v>1458</v>
      </c>
      <c r="B668" s="167" t="str">
        <f>IFERROR(__xludf.DUMMYFUNCTION("GOOGLEFINANCE(A668,""Name"")"),"#N/A")</f>
        <v>#N/A</v>
      </c>
      <c r="C668" s="167" t="s">
        <v>1459</v>
      </c>
      <c r="D668" s="167" t="s">
        <v>1221</v>
      </c>
      <c r="E668" s="167" t="s">
        <v>54</v>
      </c>
      <c r="F668" s="167" t="s">
        <v>223</v>
      </c>
      <c r="G668" s="167" t="s">
        <v>226</v>
      </c>
    </row>
    <row r="669">
      <c r="A669" s="167" t="s">
        <v>1460</v>
      </c>
      <c r="B669" s="167" t="str">
        <f>IFERROR(__xludf.DUMMYFUNCTION("GOOGLEFINANCE(A669,""Name"")"),"Patria Escritorios FII RL Unica")</f>
        <v>Patria Escritorios FII RL Unica</v>
      </c>
      <c r="C669" s="167" t="s">
        <v>1461</v>
      </c>
      <c r="D669" s="167" t="s">
        <v>1221</v>
      </c>
      <c r="E669" s="167" t="s">
        <v>54</v>
      </c>
      <c r="F669" s="167" t="s">
        <v>223</v>
      </c>
      <c r="G669" s="167" t="s">
        <v>226</v>
      </c>
    </row>
    <row r="670">
      <c r="A670" s="167" t="s">
        <v>82</v>
      </c>
      <c r="B670" s="167" t="str">
        <f>IFERROR(__xludf.DUMMYFUNCTION("GOOGLEFINANCE(A670,""Name"")"),"Patria Renda Urbana FII RL Unica")</f>
        <v>Patria Renda Urbana FII RL Unica</v>
      </c>
      <c r="C670" s="167" t="s">
        <v>1462</v>
      </c>
      <c r="D670" s="167" t="s">
        <v>1228</v>
      </c>
      <c r="E670" s="167" t="s">
        <v>54</v>
      </c>
      <c r="F670" s="167" t="s">
        <v>223</v>
      </c>
      <c r="G670" s="167" t="s">
        <v>226</v>
      </c>
    </row>
    <row r="671">
      <c r="A671" s="167" t="s">
        <v>1463</v>
      </c>
      <c r="B671" s="167" t="str">
        <f>IFERROR(__xludf.DUMMYFUNCTION("GOOGLEFINANCE(A671,""Name"")"),"Hedge Logistica FII - Un")</f>
        <v>Hedge Logistica FII - Un</v>
      </c>
      <c r="C671" s="167" t="s">
        <v>1464</v>
      </c>
      <c r="D671" s="167" t="s">
        <v>1277</v>
      </c>
      <c r="E671" s="167" t="s">
        <v>54</v>
      </c>
      <c r="F671" s="167" t="s">
        <v>1246</v>
      </c>
      <c r="G671" s="167" t="s">
        <v>226</v>
      </c>
    </row>
    <row r="672">
      <c r="A672" s="167" t="s">
        <v>1465</v>
      </c>
      <c r="B672" s="167" t="str">
        <f>IFERROR(__xludf.DUMMYFUNCTION("GOOGLEFINANCE(A672,""Name"")"),"#N/A")</f>
        <v>#N/A</v>
      </c>
      <c r="C672" s="167" t="s">
        <v>1466</v>
      </c>
      <c r="D672" s="167" t="s">
        <v>1209</v>
      </c>
      <c r="E672" s="167" t="s">
        <v>54</v>
      </c>
      <c r="F672" s="167" t="s">
        <v>1246</v>
      </c>
      <c r="G672" s="167" t="s">
        <v>226</v>
      </c>
    </row>
    <row r="673">
      <c r="A673" s="167" t="s">
        <v>1467</v>
      </c>
      <c r="B673" s="167" t="str">
        <f>IFERROR(__xludf.DUMMYFUNCTION("GOOGLEFINANCE(A673,""Name"")"),"Fundo de Investimento imobiliario Housi")</f>
        <v>Fundo de Investimento imobiliario Housi</v>
      </c>
      <c r="C673" s="167" t="s">
        <v>1468</v>
      </c>
      <c r="D673" s="167" t="s">
        <v>1313</v>
      </c>
      <c r="E673" s="167" t="s">
        <v>54</v>
      </c>
      <c r="F673" s="167" t="s">
        <v>1440</v>
      </c>
      <c r="G673" s="167" t="s">
        <v>226</v>
      </c>
    </row>
    <row r="674">
      <c r="A674" s="167" t="s">
        <v>1469</v>
      </c>
      <c r="B674" s="167" t="str">
        <f>IFERROR(__xludf.DUMMYFUNCTION("GOOGLEFINANCE(A674,""Name"")"),"Hedge Shopping Parque Dom Pedro FII - Un")</f>
        <v>Hedge Shopping Parque Dom Pedro FII - Un</v>
      </c>
      <c r="C674" s="167" t="s">
        <v>1470</v>
      </c>
      <c r="D674" s="167" t="s">
        <v>1209</v>
      </c>
      <c r="E674" s="167" t="s">
        <v>54</v>
      </c>
      <c r="F674" s="167" t="s">
        <v>1246</v>
      </c>
      <c r="G674" s="167" t="s">
        <v>226</v>
      </c>
    </row>
    <row r="675">
      <c r="A675" s="167" t="s">
        <v>1471</v>
      </c>
      <c r="B675" s="167" t="str">
        <f>IFERROR(__xludf.DUMMYFUNCTION("GOOGLEFINANCE(A675,""Name"")"),"Hedge Realty Development FII - Un")</f>
        <v>Hedge Realty Development FII - Un</v>
      </c>
      <c r="C675" s="167" t="s">
        <v>1472</v>
      </c>
      <c r="D675" s="167" t="s">
        <v>1313</v>
      </c>
      <c r="E675" s="167" t="s">
        <v>54</v>
      </c>
      <c r="F675" s="167" t="s">
        <v>1246</v>
      </c>
      <c r="G675" s="167" t="s">
        <v>226</v>
      </c>
    </row>
    <row r="676">
      <c r="A676" s="167" t="s">
        <v>1473</v>
      </c>
      <c r="B676" s="167" t="str">
        <f>IFERROR(__xludf.DUMMYFUNCTION("GOOGLEFINANCE(A676,""Name"")"),"Hedge Recebiveis Imobiliarios FII - Un")</f>
        <v>Hedge Recebiveis Imobiliarios FII - Un</v>
      </c>
      <c r="C676" s="167" t="s">
        <v>1474</v>
      </c>
      <c r="D676" s="167" t="s">
        <v>1213</v>
      </c>
      <c r="E676" s="167" t="s">
        <v>54</v>
      </c>
      <c r="F676" s="167" t="s">
        <v>1246</v>
      </c>
      <c r="G676" s="167" t="s">
        <v>226</v>
      </c>
    </row>
    <row r="677">
      <c r="A677" s="167" t="s">
        <v>1475</v>
      </c>
      <c r="B677" s="167" t="str">
        <f>IFERROR(__xludf.DUMMYFUNCTION("GOOGLEFINANCE(A677,""Name"")"),"HSI Malls Fundo de Investimento Imobiliario")</f>
        <v>HSI Malls Fundo de Investimento Imobiliario</v>
      </c>
      <c r="C677" s="167" t="s">
        <v>1476</v>
      </c>
      <c r="D677" s="167" t="s">
        <v>1209</v>
      </c>
      <c r="E677" s="167" t="s">
        <v>54</v>
      </c>
      <c r="F677" s="167" t="s">
        <v>1477</v>
      </c>
      <c r="G677" s="167" t="s">
        <v>226</v>
      </c>
    </row>
    <row r="678">
      <c r="A678" s="167" t="s">
        <v>1478</v>
      </c>
      <c r="B678" s="167" t="str">
        <f>IFERROR(__xludf.DUMMYFUNCTION("GOOGLEFINANCE(A678,""Name"")"),"FI Imobiliario - FII Hotel Maxinvest")</f>
        <v>FI Imobiliario - FII Hotel Maxinvest</v>
      </c>
      <c r="C678" s="167" t="s">
        <v>1479</v>
      </c>
      <c r="D678" s="167" t="s">
        <v>1242</v>
      </c>
      <c r="E678" s="167" t="s">
        <v>54</v>
      </c>
      <c r="F678" s="167" t="s">
        <v>1225</v>
      </c>
      <c r="G678" s="167" t="s">
        <v>226</v>
      </c>
    </row>
    <row r="679">
      <c r="A679" s="167" t="s">
        <v>1480</v>
      </c>
      <c r="B679" s="167" t="str">
        <f>IFERROR(__xludf.DUMMYFUNCTION("GOOGLEFINANCE(A679,""Name"")"),"FII Hospital Unimed Sul Capixaba")</f>
        <v>FII Hospital Unimed Sul Capixaba</v>
      </c>
      <c r="C679" s="167" t="s">
        <v>1481</v>
      </c>
      <c r="D679" s="167" t="s">
        <v>1447</v>
      </c>
      <c r="E679" s="167" t="s">
        <v>54</v>
      </c>
      <c r="F679" s="167" t="s">
        <v>1210</v>
      </c>
      <c r="G679" s="167" t="s">
        <v>226</v>
      </c>
    </row>
    <row r="680">
      <c r="A680" s="167" t="s">
        <v>1482</v>
      </c>
      <c r="B680" s="167" t="str">
        <f>IFERROR(__xludf.DUMMYFUNCTION("GOOGLEFINANCE(A680,""Name"")"),"Husi Fundo de Investimento Imobiliario Unica")</f>
        <v>Husi Fundo de Investimento Imobiliario Unica</v>
      </c>
      <c r="C680" s="167" t="s">
        <v>1483</v>
      </c>
      <c r="D680" s="167" t="s">
        <v>1447</v>
      </c>
      <c r="E680" s="167" t="s">
        <v>54</v>
      </c>
      <c r="F680" s="167" t="s">
        <v>1321</v>
      </c>
      <c r="G680" s="167" t="s">
        <v>226</v>
      </c>
    </row>
    <row r="681">
      <c r="A681" s="167" t="s">
        <v>1484</v>
      </c>
      <c r="B681" s="167" t="str">
        <f>IFERROR(__xludf.DUMMYFUNCTION("GOOGLEFINANCE(A681,""Name"")"),"#N/A")</f>
        <v>#N/A</v>
      </c>
      <c r="C681" s="167" t="s">
        <v>1485</v>
      </c>
      <c r="D681" s="167" t="s">
        <v>1217</v>
      </c>
      <c r="E681" s="167" t="s">
        <v>54</v>
      </c>
      <c r="F681" s="167" t="s">
        <v>1225</v>
      </c>
      <c r="G681" s="167" t="s">
        <v>226</v>
      </c>
    </row>
    <row r="682">
      <c r="A682" s="167" t="s">
        <v>1486</v>
      </c>
      <c r="B682" s="167" t="str">
        <f>IFERROR(__xludf.DUMMYFUNCTION("GOOGLEFINANCE(A682,""Name"")"),"#N/A")</f>
        <v>#N/A</v>
      </c>
      <c r="C682" s="167" t="s">
        <v>1487</v>
      </c>
      <c r="D682" s="167" t="s">
        <v>1217</v>
      </c>
      <c r="E682" s="167" t="s">
        <v>54</v>
      </c>
      <c r="F682" s="167" t="s">
        <v>1314</v>
      </c>
      <c r="G682" s="167" t="s">
        <v>226</v>
      </c>
    </row>
    <row r="683">
      <c r="A683" s="167" t="s">
        <v>1488</v>
      </c>
      <c r="B683" s="167" t="str">
        <f>IFERROR(__xludf.DUMMYFUNCTION("GOOGLEFINANCE(A683,""Name"")"),"IND FDO IMOB")</f>
        <v>IND FDO IMOB</v>
      </c>
      <c r="C683" s="167" t="s">
        <v>54</v>
      </c>
      <c r="D683" s="167" t="s">
        <v>1489</v>
      </c>
      <c r="E683" s="167" t="s">
        <v>54</v>
      </c>
      <c r="F683" s="167" t="s">
        <v>1489</v>
      </c>
      <c r="G683" s="167" t="s">
        <v>226</v>
      </c>
    </row>
    <row r="684">
      <c r="A684" s="167" t="s">
        <v>1490</v>
      </c>
      <c r="B684" s="167" t="str">
        <f>IFERROR(__xludf.DUMMYFUNCTION("GOOGLEFINANCE(A684,""Name"")"),"#N/A")</f>
        <v>#N/A</v>
      </c>
      <c r="C684" s="167" t="s">
        <v>1491</v>
      </c>
      <c r="D684" s="167" t="s">
        <v>1213</v>
      </c>
      <c r="E684" s="167" t="s">
        <v>54</v>
      </c>
      <c r="F684" s="167" t="s">
        <v>1225</v>
      </c>
      <c r="G684" s="167" t="s">
        <v>226</v>
      </c>
    </row>
    <row r="685">
      <c r="A685" s="167" t="s">
        <v>1492</v>
      </c>
      <c r="B685" s="167" t="str">
        <f>IFERROR(__xludf.DUMMYFUNCTION("GOOGLEFINANCE(A685,""Name"")"),"JPP Capital Recebiveis Imobiliarios FII")</f>
        <v>JPP Capital Recebiveis Imobiliarios FII</v>
      </c>
      <c r="C685" s="167" t="s">
        <v>1493</v>
      </c>
      <c r="D685" s="167" t="s">
        <v>1213</v>
      </c>
      <c r="E685" s="167" t="s">
        <v>54</v>
      </c>
      <c r="F685" s="167" t="s">
        <v>1440</v>
      </c>
      <c r="G685" s="167" t="s">
        <v>226</v>
      </c>
    </row>
    <row r="686">
      <c r="A686" s="167" t="s">
        <v>1494</v>
      </c>
      <c r="B686" s="167" t="str">
        <f>IFERROR(__xludf.DUMMYFUNCTION("GOOGLEFINANCE(A686,""Name"")"),"#N/A")</f>
        <v>#N/A</v>
      </c>
      <c r="C686" s="167" t="s">
        <v>1495</v>
      </c>
      <c r="D686" s="167" t="s">
        <v>1313</v>
      </c>
      <c r="E686" s="167" t="s">
        <v>54</v>
      </c>
      <c r="F686" s="167" t="s">
        <v>1496</v>
      </c>
      <c r="G686" s="167" t="s">
        <v>226</v>
      </c>
    </row>
    <row r="687">
      <c r="A687" s="167" t="s">
        <v>1497</v>
      </c>
      <c r="B687" s="167" t="str">
        <f>IFERROR(__xludf.DUMMYFUNCTION("GOOGLEFINANCE(A687,""Name"")"),"#N/A")</f>
        <v>#N/A</v>
      </c>
      <c r="C687" s="167" t="s">
        <v>1498</v>
      </c>
      <c r="D687" s="167" t="s">
        <v>1209</v>
      </c>
      <c r="E687" s="167" t="s">
        <v>54</v>
      </c>
      <c r="F687" s="167" t="s">
        <v>1225</v>
      </c>
      <c r="G687" s="167" t="s">
        <v>226</v>
      </c>
    </row>
    <row r="688">
      <c r="A688" s="167" t="s">
        <v>1499</v>
      </c>
      <c r="B688" s="167" t="str">
        <f>IFERROR(__xludf.DUMMYFUNCTION("GOOGLEFINANCE(A688,""Name"")"),"#N/A")</f>
        <v>#N/A</v>
      </c>
      <c r="C688" s="167" t="s">
        <v>54</v>
      </c>
      <c r="D688" s="167" t="s">
        <v>1213</v>
      </c>
      <c r="E688" s="167" t="s">
        <v>54</v>
      </c>
      <c r="F688" s="167" t="s">
        <v>1274</v>
      </c>
      <c r="G688" s="167" t="s">
        <v>226</v>
      </c>
    </row>
    <row r="689">
      <c r="A689" s="167" t="s">
        <v>1500</v>
      </c>
      <c r="B689" s="167" t="str">
        <f>IFERROR(__xludf.DUMMYFUNCTION("GOOGLEFINANCE(A689,""Name"")"),"JS Real Estate Multigestao FII")</f>
        <v>JS Real Estate Multigestao FII</v>
      </c>
      <c r="C689" s="167" t="s">
        <v>1273</v>
      </c>
      <c r="D689" s="167" t="s">
        <v>1221</v>
      </c>
      <c r="E689" s="167" t="s">
        <v>54</v>
      </c>
      <c r="F689" s="167" t="s">
        <v>1274</v>
      </c>
      <c r="G689" s="167" t="s">
        <v>226</v>
      </c>
    </row>
    <row r="690">
      <c r="A690" s="167" t="s">
        <v>1501</v>
      </c>
      <c r="B690" s="167" t="str">
        <f>IFERROR(__xludf.DUMMYFUNCTION("GOOGLEFINANCE(A690,""Name"")"),"JT Prev FII Desenvolvimento Habitacional")</f>
        <v>JT Prev FII Desenvolvimento Habitacional</v>
      </c>
      <c r="C690" s="167" t="s">
        <v>1502</v>
      </c>
      <c r="D690" s="167" t="s">
        <v>1306</v>
      </c>
      <c r="E690" s="167" t="s">
        <v>54</v>
      </c>
      <c r="F690" s="167" t="s">
        <v>1321</v>
      </c>
      <c r="G690" s="167" t="s">
        <v>226</v>
      </c>
    </row>
    <row r="691">
      <c r="A691" s="167" t="s">
        <v>1503</v>
      </c>
      <c r="B691" s="167" t="str">
        <f>IFERROR(__xludf.DUMMYFUNCTION("GOOGLEFINANCE(A691,""Name"")"),"Fundo de FI Imobiliario Kinea FII RL")</f>
        <v>Fundo de FI Imobiliario Kinea FII RL</v>
      </c>
      <c r="C691" s="167" t="s">
        <v>1504</v>
      </c>
      <c r="D691" s="167" t="s">
        <v>1217</v>
      </c>
      <c r="E691" s="167" t="s">
        <v>54</v>
      </c>
      <c r="F691" s="167" t="s">
        <v>230</v>
      </c>
      <c r="G691" s="167" t="s">
        <v>226</v>
      </c>
    </row>
    <row r="692">
      <c r="A692" s="167" t="s">
        <v>1505</v>
      </c>
      <c r="B692" s="167" t="str">
        <f>IFERROR(__xludf.DUMMYFUNCTION("GOOGLEFINANCE(A692,""Name"")"),"#N/A")</f>
        <v>#N/A</v>
      </c>
      <c r="C692" s="167" t="s">
        <v>1506</v>
      </c>
      <c r="D692" s="167" t="s">
        <v>1306</v>
      </c>
      <c r="E692" s="167" t="s">
        <v>54</v>
      </c>
      <c r="F692" s="167" t="s">
        <v>230</v>
      </c>
      <c r="G692" s="167" t="s">
        <v>226</v>
      </c>
    </row>
    <row r="693">
      <c r="A693" s="167" t="s">
        <v>1507</v>
      </c>
      <c r="B693" s="167" t="str">
        <f>IFERROR(__xludf.DUMMYFUNCTION("GOOGLEFINANCE(A693,""Name"")"),"Kinea Rendimentos Imobiliarios FII")</f>
        <v>Kinea Rendimentos Imobiliarios FII</v>
      </c>
      <c r="C693" s="167" t="s">
        <v>1508</v>
      </c>
      <c r="D693" s="167" t="s">
        <v>1213</v>
      </c>
      <c r="E693" s="167" t="s">
        <v>54</v>
      </c>
      <c r="F693" s="167" t="s">
        <v>230</v>
      </c>
      <c r="G693" s="167" t="s">
        <v>226</v>
      </c>
    </row>
    <row r="694">
      <c r="A694" s="167" t="s">
        <v>1509</v>
      </c>
      <c r="B694" s="167" t="str">
        <f>IFERROR(__xludf.DUMMYFUNCTION("GOOGLEFINANCE(A694,""Name"")"),"Kinea High Yield CRI FI Imobiliario-FII")</f>
        <v>Kinea High Yield CRI FI Imobiliario-FII</v>
      </c>
      <c r="C694" s="167" t="s">
        <v>1510</v>
      </c>
      <c r="D694" s="167" t="s">
        <v>1213</v>
      </c>
      <c r="E694" s="167" t="s">
        <v>54</v>
      </c>
      <c r="F694" s="167" t="s">
        <v>230</v>
      </c>
      <c r="G694" s="167" t="s">
        <v>226</v>
      </c>
    </row>
    <row r="695">
      <c r="A695" s="167" t="s">
        <v>1511</v>
      </c>
      <c r="B695" s="167" t="str">
        <f>IFERROR(__xludf.DUMMYFUNCTION("GOOGLEFINANCE(A695,""Name"")"),"Kinea Indices de Precos FII - Unica")</f>
        <v>Kinea Indices de Precos FII - Unica</v>
      </c>
      <c r="C695" s="167" t="s">
        <v>1512</v>
      </c>
      <c r="D695" s="167" t="s">
        <v>1213</v>
      </c>
      <c r="E695" s="167" t="s">
        <v>54</v>
      </c>
      <c r="F695" s="167" t="s">
        <v>230</v>
      </c>
      <c r="G695" s="167" t="s">
        <v>226</v>
      </c>
    </row>
    <row r="696">
      <c r="A696" s="167" t="s">
        <v>1513</v>
      </c>
      <c r="B696" s="167" t="str">
        <f>IFERROR(__xludf.DUMMYFUNCTION("GOOGLEFINANCE(A696,""Name"")"),"Kinea II Real Estate Equity FII")</f>
        <v>Kinea II Real Estate Equity FII</v>
      </c>
      <c r="C696" s="167" t="s">
        <v>1514</v>
      </c>
      <c r="D696" s="167" t="s">
        <v>1306</v>
      </c>
      <c r="E696" s="167" t="s">
        <v>54</v>
      </c>
      <c r="F696" s="167" t="s">
        <v>230</v>
      </c>
      <c r="G696" s="167" t="s">
        <v>226</v>
      </c>
    </row>
    <row r="697">
      <c r="A697" s="167" t="s">
        <v>81</v>
      </c>
      <c r="B697" s="167" t="str">
        <f>IFERROR(__xludf.DUMMYFUNCTION("GOOGLEFINANCE(A697,""Name"")"),"Kinea Renda Imobiliaria FII")</f>
        <v>Kinea Renda Imobiliaria FII</v>
      </c>
      <c r="C697" s="167" t="s">
        <v>1515</v>
      </c>
      <c r="D697" s="167" t="s">
        <v>1228</v>
      </c>
      <c r="E697" s="167" t="s">
        <v>54</v>
      </c>
      <c r="F697" s="167" t="s">
        <v>230</v>
      </c>
      <c r="G697" s="167" t="s">
        <v>226</v>
      </c>
    </row>
    <row r="698">
      <c r="A698" s="167" t="s">
        <v>1516</v>
      </c>
      <c r="B698" s="167" t="str">
        <f>IFERROR(__xludf.DUMMYFUNCTION("GOOGLEFINANCE(A698,""Name"")"),"Legatus Shoppings FI Imobiliario FII")</f>
        <v>Legatus Shoppings FI Imobiliario FII</v>
      </c>
      <c r="C698" s="167" t="s">
        <v>1517</v>
      </c>
      <c r="D698" s="167" t="s">
        <v>1209</v>
      </c>
      <c r="E698" s="167" t="s">
        <v>54</v>
      </c>
      <c r="F698" s="167" t="s">
        <v>1440</v>
      </c>
      <c r="G698" s="167" t="s">
        <v>226</v>
      </c>
    </row>
    <row r="699">
      <c r="A699" s="167" t="s">
        <v>1518</v>
      </c>
      <c r="B699" s="167" t="str">
        <f>IFERROR(__xludf.DUMMYFUNCTION("GOOGLEFINANCE(A699,""Name"")"),"#N/A")</f>
        <v>#N/A</v>
      </c>
      <c r="C699" s="167" t="s">
        <v>1519</v>
      </c>
      <c r="D699" s="167" t="s">
        <v>1306</v>
      </c>
      <c r="E699" s="167" t="s">
        <v>54</v>
      </c>
      <c r="F699" s="167" t="s">
        <v>1239</v>
      </c>
      <c r="G699" s="167" t="s">
        <v>226</v>
      </c>
    </row>
    <row r="700">
      <c r="A700" s="167" t="s">
        <v>1520</v>
      </c>
      <c r="B700" s="167" t="str">
        <f>IFERROR(__xludf.DUMMYFUNCTION("GOOGLEFINANCE(A700,""Name"")"),"#N/A")</f>
        <v>#N/A</v>
      </c>
      <c r="C700" s="167" t="s">
        <v>1521</v>
      </c>
      <c r="D700" s="167" t="s">
        <v>1277</v>
      </c>
      <c r="E700" s="167" t="s">
        <v>54</v>
      </c>
      <c r="F700" s="167" t="s">
        <v>1271</v>
      </c>
      <c r="G700" s="167" t="s">
        <v>226</v>
      </c>
    </row>
    <row r="701">
      <c r="A701" s="167" t="s">
        <v>1522</v>
      </c>
      <c r="B701" s="167" t="str">
        <f>IFERROR(__xludf.DUMMYFUNCTION("GOOGLEFINANCE(A701,""Name"")"),"#N/A")</f>
        <v>#N/A</v>
      </c>
      <c r="C701" s="167" t="s">
        <v>1523</v>
      </c>
      <c r="D701" s="167" t="s">
        <v>1306</v>
      </c>
      <c r="E701" s="167" t="s">
        <v>54</v>
      </c>
      <c r="F701" s="167" t="s">
        <v>1222</v>
      </c>
      <c r="G701" s="167" t="s">
        <v>226</v>
      </c>
    </row>
    <row r="702">
      <c r="A702" s="167" t="s">
        <v>1524</v>
      </c>
      <c r="B702" s="167" t="str">
        <f>IFERROR(__xludf.DUMMYFUNCTION("GOOGLEFINANCE(A702,""Name"")"),"#N/A")</f>
        <v>#N/A</v>
      </c>
      <c r="C702" s="167" t="s">
        <v>1523</v>
      </c>
      <c r="D702" s="167" t="s">
        <v>1306</v>
      </c>
      <c r="E702" s="167" t="s">
        <v>54</v>
      </c>
      <c r="F702" s="167" t="s">
        <v>1222</v>
      </c>
      <c r="G702" s="167" t="s">
        <v>226</v>
      </c>
    </row>
    <row r="703">
      <c r="A703" s="167" t="s">
        <v>1525</v>
      </c>
      <c r="B703" s="167" t="str">
        <f>IFERROR(__xludf.DUMMYFUNCTION("GOOGLEFINANCE(A703,""Name"")"),"#N/A")</f>
        <v>#N/A</v>
      </c>
      <c r="C703" s="167" t="s">
        <v>1526</v>
      </c>
      <c r="D703" s="167" t="s">
        <v>1306</v>
      </c>
      <c r="E703" s="167" t="s">
        <v>54</v>
      </c>
      <c r="F703" s="167" t="s">
        <v>1271</v>
      </c>
      <c r="G703" s="167" t="s">
        <v>226</v>
      </c>
    </row>
    <row r="704">
      <c r="A704" s="167" t="s">
        <v>1527</v>
      </c>
      <c r="B704" s="167" t="str">
        <f>IFERROR(__xludf.DUMMYFUNCTION("GOOGLEFINANCE(A704,""Name"")"),"Fundo de Investimento Imobiliario - VBI Logistico")</f>
        <v>Fundo de Investimento Imobiliario - VBI Logistico</v>
      </c>
      <c r="C704" s="167" t="s">
        <v>1528</v>
      </c>
      <c r="D704" s="167" t="s">
        <v>1277</v>
      </c>
      <c r="E704" s="167" t="s">
        <v>54</v>
      </c>
      <c r="F704" s="167" t="s">
        <v>1225</v>
      </c>
      <c r="G704" s="167" t="s">
        <v>226</v>
      </c>
    </row>
    <row r="705">
      <c r="A705" s="167" t="s">
        <v>1529</v>
      </c>
      <c r="B705" s="167" t="str">
        <f>IFERROR(__xludf.DUMMYFUNCTION("GOOGLEFINANCE(A705,""Name"")"),"#N/A")</f>
        <v>#N/A</v>
      </c>
      <c r="C705" s="167" t="s">
        <v>1530</v>
      </c>
      <c r="D705" s="167" t="s">
        <v>1209</v>
      </c>
      <c r="E705" s="167" t="s">
        <v>54</v>
      </c>
      <c r="F705" s="167" t="s">
        <v>1288</v>
      </c>
      <c r="G705" s="167" t="s">
        <v>226</v>
      </c>
    </row>
    <row r="706">
      <c r="A706" s="167" t="s">
        <v>1531</v>
      </c>
      <c r="B706" s="167" t="str">
        <f>IFERROR(__xludf.DUMMYFUNCTION("GOOGLEFINANCE(A706,""Name"")"),"FI Imobiliario FII Max Retail")</f>
        <v>FI Imobiliario FII Max Retail</v>
      </c>
      <c r="C706" s="167" t="s">
        <v>1532</v>
      </c>
      <c r="D706" s="167" t="s">
        <v>1209</v>
      </c>
      <c r="E706" s="167" t="s">
        <v>54</v>
      </c>
      <c r="F706" s="167" t="s">
        <v>1225</v>
      </c>
      <c r="G706" s="167" t="s">
        <v>226</v>
      </c>
    </row>
    <row r="707">
      <c r="A707" s="167" t="s">
        <v>1533</v>
      </c>
      <c r="B707" s="167" t="str">
        <f>IFERROR(__xludf.DUMMYFUNCTION("GOOGLEFINANCE(A707,""Name"")"),"#N/A")</f>
        <v>#N/A</v>
      </c>
      <c r="C707" s="167" t="s">
        <v>1534</v>
      </c>
      <c r="D707" s="167" t="s">
        <v>1251</v>
      </c>
      <c r="E707" s="167" t="s">
        <v>54</v>
      </c>
      <c r="F707" s="167" t="s">
        <v>1210</v>
      </c>
      <c r="G707" s="167" t="s">
        <v>226</v>
      </c>
    </row>
    <row r="708">
      <c r="A708" s="167" t="s">
        <v>1535</v>
      </c>
      <c r="B708" s="167" t="str">
        <f>IFERROR(__xludf.DUMMYFUNCTION("GOOGLEFINANCE(A708,""Name"")"),"FII Maua Capital Recebiveis Imobiliarios FII")</f>
        <v>FII Maua Capital Recebiveis Imobiliarios FII</v>
      </c>
      <c r="C708" s="167" t="s">
        <v>1536</v>
      </c>
      <c r="D708" s="167" t="s">
        <v>1213</v>
      </c>
      <c r="E708" s="167" t="s">
        <v>54</v>
      </c>
      <c r="F708" s="167" t="s">
        <v>1225</v>
      </c>
      <c r="G708" s="167" t="s">
        <v>226</v>
      </c>
    </row>
    <row r="709">
      <c r="A709" s="167" t="s">
        <v>1537</v>
      </c>
      <c r="B709" s="167" t="str">
        <f>IFERROR(__xludf.DUMMYFUNCTION("GOOGLEFINANCE(A709,""Name"")"),"#N/A")</f>
        <v>#N/A</v>
      </c>
      <c r="C709" s="167" t="s">
        <v>1538</v>
      </c>
      <c r="D709" s="167" t="s">
        <v>1217</v>
      </c>
      <c r="E709" s="167" t="s">
        <v>54</v>
      </c>
      <c r="F709" s="167" t="s">
        <v>1321</v>
      </c>
      <c r="G709" s="167" t="s">
        <v>226</v>
      </c>
    </row>
    <row r="710">
      <c r="A710" s="167" t="s">
        <v>1539</v>
      </c>
      <c r="B710" s="167" t="str">
        <f>IFERROR(__xludf.DUMMYFUNCTION("GOOGLEFINANCE(A710,""Name"")"),"Merito Desenvolvimento Imobiliario I FII")</f>
        <v>Merito Desenvolvimento Imobiliario I FII</v>
      </c>
      <c r="C710" s="167" t="s">
        <v>1540</v>
      </c>
      <c r="D710" s="167" t="s">
        <v>1306</v>
      </c>
      <c r="E710" s="167" t="s">
        <v>54</v>
      </c>
      <c r="F710" s="167" t="s">
        <v>1321</v>
      </c>
      <c r="G710" s="167" t="s">
        <v>226</v>
      </c>
    </row>
    <row r="711">
      <c r="A711" s="167" t="s">
        <v>1541</v>
      </c>
      <c r="B711" s="167" t="str">
        <f>IFERROR(__xludf.DUMMYFUNCTION("GOOGLEFINANCE(A711,""Name"")"),"#N/A")</f>
        <v>#N/A</v>
      </c>
      <c r="C711" s="167" t="s">
        <v>1542</v>
      </c>
      <c r="D711" s="167" t="s">
        <v>1217</v>
      </c>
      <c r="E711" s="167" t="s">
        <v>54</v>
      </c>
      <c r="F711" s="167" t="s">
        <v>1225</v>
      </c>
      <c r="G711" s="167" t="s">
        <v>226</v>
      </c>
    </row>
    <row r="712">
      <c r="A712" s="167" t="s">
        <v>1543</v>
      </c>
      <c r="B712" s="167" t="str">
        <f>IFERROR(__xludf.DUMMYFUNCTION("GOOGLEFINANCE(A712,""Name"")"),"Fundo de Investimento Imobiliario Mogno Hoteis")</f>
        <v>Fundo de Investimento Imobiliario Mogno Hoteis</v>
      </c>
      <c r="C712" s="167" t="s">
        <v>1544</v>
      </c>
      <c r="D712" s="167" t="s">
        <v>1242</v>
      </c>
      <c r="E712" s="167" t="s">
        <v>54</v>
      </c>
      <c r="F712" s="167" t="s">
        <v>1225</v>
      </c>
      <c r="G712" s="167" t="s">
        <v>226</v>
      </c>
    </row>
    <row r="713">
      <c r="A713" s="167" t="s">
        <v>1545</v>
      </c>
      <c r="B713" s="167" t="str">
        <f>IFERROR(__xludf.DUMMYFUNCTION("GOOGLEFINANCE(A713,""Name"")"),"#N/A")</f>
        <v>#N/A</v>
      </c>
      <c r="C713" s="167" t="s">
        <v>1546</v>
      </c>
      <c r="D713" s="167" t="s">
        <v>1376</v>
      </c>
      <c r="E713" s="167" t="s">
        <v>54</v>
      </c>
      <c r="F713" s="167" t="s">
        <v>1547</v>
      </c>
      <c r="G713" s="167" t="s">
        <v>226</v>
      </c>
    </row>
    <row r="714">
      <c r="A714" s="167" t="s">
        <v>1548</v>
      </c>
      <c r="B714" s="167" t="str">
        <f>IFERROR(__xludf.DUMMYFUNCTION("GOOGLEFINANCE(A714,""Name"")"),"#N/A")</f>
        <v>#N/A</v>
      </c>
      <c r="C714" s="167" t="s">
        <v>1549</v>
      </c>
      <c r="D714" s="167" t="s">
        <v>1221</v>
      </c>
      <c r="E714" s="167" t="s">
        <v>54</v>
      </c>
      <c r="F714" s="167" t="s">
        <v>1239</v>
      </c>
      <c r="G714" s="167" t="s">
        <v>226</v>
      </c>
    </row>
    <row r="715">
      <c r="A715" s="167" t="s">
        <v>1550</v>
      </c>
      <c r="B715" s="167" t="str">
        <f>IFERROR(__xludf.DUMMYFUNCTION("GOOGLEFINANCE(A715,""Name"")"),"#N/A")</f>
        <v>#N/A</v>
      </c>
      <c r="C715" s="167" t="s">
        <v>1551</v>
      </c>
      <c r="D715" s="167" t="s">
        <v>1217</v>
      </c>
      <c r="E715" s="167" t="s">
        <v>54</v>
      </c>
      <c r="F715" s="167" t="s">
        <v>1225</v>
      </c>
      <c r="G715" s="167" t="s">
        <v>226</v>
      </c>
    </row>
    <row r="716">
      <c r="A716" s="167" t="s">
        <v>1552</v>
      </c>
      <c r="B716" s="167" t="str">
        <f>IFERROR(__xludf.DUMMYFUNCTION("GOOGLEFINANCE(A716,""Name"")"),"#N/A")</f>
        <v>#N/A</v>
      </c>
      <c r="C716" s="167"/>
      <c r="D716" s="167" t="s">
        <v>1209</v>
      </c>
      <c r="E716" s="167" t="s">
        <v>54</v>
      </c>
      <c r="F716" s="167" t="s">
        <v>1553</v>
      </c>
      <c r="G716" s="167" t="s">
        <v>226</v>
      </c>
    </row>
    <row r="717">
      <c r="A717" s="167" t="s">
        <v>1554</v>
      </c>
      <c r="B717" s="167" t="str">
        <f>IFERROR(__xludf.DUMMYFUNCTION("GOOGLEFINANCE(A717,""Name"")"),"Alianza Multioffices - FI Imobiliario")</f>
        <v>Alianza Multioffices - FI Imobiliario</v>
      </c>
      <c r="C717" s="167" t="s">
        <v>1555</v>
      </c>
      <c r="D717" s="167" t="s">
        <v>1213</v>
      </c>
      <c r="E717" s="167" t="s">
        <v>54</v>
      </c>
      <c r="F717" s="167" t="s">
        <v>1239</v>
      </c>
      <c r="G717" s="167" t="s">
        <v>226</v>
      </c>
    </row>
    <row r="718">
      <c r="A718" s="167" t="s">
        <v>1556</v>
      </c>
      <c r="B718" s="167" t="str">
        <f>IFERROR(__xludf.DUMMYFUNCTION("GOOGLEFINANCE(A718,""Name"")"),"#N/A")</f>
        <v>#N/A</v>
      </c>
      <c r="C718" s="167" t="s">
        <v>1557</v>
      </c>
      <c r="D718" s="167" t="s">
        <v>1020</v>
      </c>
      <c r="E718" s="167" t="s">
        <v>54</v>
      </c>
      <c r="F718" s="167" t="s">
        <v>1225</v>
      </c>
      <c r="G718" s="167" t="s">
        <v>226</v>
      </c>
    </row>
    <row r="719">
      <c r="A719" s="167" t="s">
        <v>1558</v>
      </c>
      <c r="B719" s="167" t="str">
        <f>IFERROR(__xludf.DUMMYFUNCTION("GOOGLEFINANCE(A719,""Name"")"),"#N/A")</f>
        <v>#N/A</v>
      </c>
      <c r="C719" s="167" t="s">
        <v>1559</v>
      </c>
      <c r="D719" s="167" t="s">
        <v>1221</v>
      </c>
      <c r="E719" s="167" t="s">
        <v>54</v>
      </c>
      <c r="F719" s="167" t="s">
        <v>1225</v>
      </c>
      <c r="G719" s="167" t="s">
        <v>226</v>
      </c>
    </row>
    <row r="720">
      <c r="A720" s="167" t="s">
        <v>1560</v>
      </c>
      <c r="B720" s="167" t="str">
        <f>IFERROR(__xludf.DUMMYFUNCTION("GOOGLEFINANCE(A720,""Name"")"),"Maxi Renda Fundo de Investimento Imobiliario - FII")</f>
        <v>Maxi Renda Fundo de Investimento Imobiliario - FII</v>
      </c>
      <c r="C720" s="167" t="s">
        <v>1561</v>
      </c>
      <c r="D720" s="167" t="s">
        <v>1213</v>
      </c>
      <c r="E720" s="167" t="s">
        <v>54</v>
      </c>
      <c r="F720" s="167" t="s">
        <v>1225</v>
      </c>
      <c r="G720" s="167" t="s">
        <v>226</v>
      </c>
    </row>
    <row r="721">
      <c r="A721" s="167" t="s">
        <v>1562</v>
      </c>
      <c r="B721" s="167" t="str">
        <f>IFERROR(__xludf.DUMMYFUNCTION("GOOGLEFINANCE(A721,""Name"")"),"#N/A")</f>
        <v>#N/A</v>
      </c>
      <c r="C721" s="167" t="s">
        <v>1563</v>
      </c>
      <c r="D721" s="167" t="s">
        <v>1213</v>
      </c>
      <c r="E721" s="167" t="s">
        <v>54</v>
      </c>
      <c r="F721" s="167" t="s">
        <v>1225</v>
      </c>
      <c r="G721" s="167" t="s">
        <v>226</v>
      </c>
    </row>
    <row r="722">
      <c r="A722" s="167" t="s">
        <v>1564</v>
      </c>
      <c r="B722" s="167" t="str">
        <f>IFERROR(__xludf.DUMMYFUNCTION("GOOGLEFINANCE(A722,""Name"")"),"Newport Logistica FII")</f>
        <v>Newport Logistica FII</v>
      </c>
      <c r="C722" s="167" t="s">
        <v>1565</v>
      </c>
      <c r="D722" s="167" t="s">
        <v>1277</v>
      </c>
      <c r="E722" s="167" t="s">
        <v>54</v>
      </c>
      <c r="F722" s="167" t="s">
        <v>1566</v>
      </c>
      <c r="G722" s="167" t="s">
        <v>226</v>
      </c>
    </row>
    <row r="723">
      <c r="A723" s="167" t="s">
        <v>1567</v>
      </c>
      <c r="B723" s="167" t="str">
        <f>IFERROR(__xludf.DUMMYFUNCTION("GOOGLEFINANCE(A723,""Name"")"),"NewPort Renda Urbana FII")</f>
        <v>NewPort Renda Urbana FII</v>
      </c>
      <c r="C723" s="167" t="s">
        <v>1568</v>
      </c>
      <c r="D723" s="167" t="s">
        <v>1221</v>
      </c>
      <c r="E723" s="167" t="s">
        <v>54</v>
      </c>
      <c r="F723" s="167" t="s">
        <v>1566</v>
      </c>
      <c r="G723" s="167" t="s">
        <v>226</v>
      </c>
    </row>
    <row r="724">
      <c r="A724" s="167" t="s">
        <v>1569</v>
      </c>
      <c r="B724" s="167" t="str">
        <f>IFERROR(__xludf.DUMMYFUNCTION("GOOGLEFINANCE(A724,""Name"")"),"#N/A")</f>
        <v>#N/A</v>
      </c>
      <c r="C724" s="167" t="s">
        <v>1570</v>
      </c>
      <c r="D724" s="167" t="s">
        <v>1313</v>
      </c>
      <c r="E724" s="167" t="s">
        <v>54</v>
      </c>
      <c r="F724" s="167" t="s">
        <v>1321</v>
      </c>
      <c r="G724" s="167" t="s">
        <v>226</v>
      </c>
    </row>
    <row r="725">
      <c r="A725" s="167" t="s">
        <v>1571</v>
      </c>
      <c r="B725" s="167" t="str">
        <f>IFERROR(__xludf.DUMMYFUNCTION("GOOGLEFINANCE(A725,""Name"")"),"FII Hospital Nossa Senhora de Lourdes")</f>
        <v>FII Hospital Nossa Senhora de Lourdes</v>
      </c>
      <c r="C725" s="167" t="s">
        <v>1572</v>
      </c>
      <c r="D725" s="167" t="s">
        <v>1447</v>
      </c>
      <c r="E725" s="167" t="s">
        <v>54</v>
      </c>
      <c r="F725" s="167" t="s">
        <v>1225</v>
      </c>
      <c r="G725" s="167" t="s">
        <v>226</v>
      </c>
    </row>
    <row r="726">
      <c r="A726" s="167" t="s">
        <v>1573</v>
      </c>
      <c r="B726" s="167" t="str">
        <f>IFERROR(__xludf.DUMMYFUNCTION("GOOGLEFINANCE(A726,""Name"")"),"FI Imobiliario - FII Novo Horizonte - Un")</f>
        <v>FI Imobiliario - FII Novo Horizonte - Un</v>
      </c>
      <c r="C726" s="167" t="s">
        <v>1574</v>
      </c>
      <c r="D726" s="167" t="s">
        <v>1447</v>
      </c>
      <c r="E726" s="167" t="s">
        <v>54</v>
      </c>
      <c r="F726" s="167" t="s">
        <v>1547</v>
      </c>
      <c r="G726" s="167" t="s">
        <v>226</v>
      </c>
    </row>
    <row r="727">
      <c r="A727" s="167" t="s">
        <v>1575</v>
      </c>
      <c r="B727" s="167" t="str">
        <f>IFERROR(__xludf.DUMMYFUNCTION("GOOGLEFINANCE(A727,""Name"")"),"#N/A")</f>
        <v>#N/A</v>
      </c>
      <c r="C727" s="167" t="s">
        <v>1576</v>
      </c>
      <c r="D727" s="167" t="s">
        <v>1228</v>
      </c>
      <c r="E727" s="167" t="s">
        <v>54</v>
      </c>
      <c r="F727" s="167" t="s">
        <v>1222</v>
      </c>
      <c r="G727" s="167" t="s">
        <v>226</v>
      </c>
    </row>
    <row r="728">
      <c r="A728" s="167" t="s">
        <v>1577</v>
      </c>
      <c r="B728" s="167" t="str">
        <f>IFERROR(__xludf.DUMMYFUNCTION("GOOGLEFINANCE(A728,""Name"")"),"#N/A")</f>
        <v>#N/A</v>
      </c>
      <c r="C728" s="167" t="s">
        <v>1578</v>
      </c>
      <c r="D728" s="167" t="s">
        <v>1221</v>
      </c>
      <c r="E728" s="167" t="s">
        <v>54</v>
      </c>
      <c r="F728" s="167" t="s">
        <v>1210</v>
      </c>
      <c r="G728" s="167" t="s">
        <v>226</v>
      </c>
    </row>
    <row r="729">
      <c r="A729" s="167" t="s">
        <v>1579</v>
      </c>
      <c r="B729" s="167" t="str">
        <f>IFERROR(__xludf.DUMMYFUNCTION("GOOGLEFINANCE(A729,""Name"")"),"#N/A")</f>
        <v>#N/A</v>
      </c>
      <c r="C729" s="167" t="s">
        <v>1580</v>
      </c>
      <c r="D729" s="167" t="s">
        <v>1213</v>
      </c>
      <c r="E729" s="167" t="s">
        <v>54</v>
      </c>
      <c r="F729" s="167" t="s">
        <v>1321</v>
      </c>
      <c r="G729" s="167" t="s">
        <v>226</v>
      </c>
    </row>
    <row r="730">
      <c r="A730" s="167" t="s">
        <v>1581</v>
      </c>
      <c r="B730" s="167" t="str">
        <f>IFERROR(__xludf.DUMMYFUNCTION("GOOGLEFINANCE(A730,""Name"")"),"#N/A")</f>
        <v>#N/A</v>
      </c>
      <c r="C730" s="167" t="s">
        <v>54</v>
      </c>
      <c r="D730" s="167" t="s">
        <v>1213</v>
      </c>
      <c r="E730" s="167" t="s">
        <v>54</v>
      </c>
      <c r="F730" s="167" t="s">
        <v>1582</v>
      </c>
      <c r="G730" s="167" t="s">
        <v>226</v>
      </c>
    </row>
    <row r="731">
      <c r="A731" s="167" t="s">
        <v>1583</v>
      </c>
      <c r="B731" s="167" t="str">
        <f>IFERROR(__xludf.DUMMYFUNCTION("GOOGLEFINANCE(A731,""Name"")"),"#N/A")</f>
        <v>#N/A</v>
      </c>
      <c r="C731" s="167" t="s">
        <v>1584</v>
      </c>
      <c r="D731" s="167" t="s">
        <v>1217</v>
      </c>
      <c r="E731" s="167" t="s">
        <v>54</v>
      </c>
      <c r="F731" s="167" t="s">
        <v>1582</v>
      </c>
      <c r="G731" s="167" t="s">
        <v>226</v>
      </c>
    </row>
    <row r="732">
      <c r="A732" s="167" t="s">
        <v>1585</v>
      </c>
      <c r="B732" s="167" t="str">
        <f>IFERROR(__xludf.DUMMYFUNCTION("GOOGLEFINANCE(A732,""Name"")"),"Ourinvest JPP FI Imobiliario")</f>
        <v>Ourinvest JPP FI Imobiliario</v>
      </c>
      <c r="C732" s="167" t="s">
        <v>1586</v>
      </c>
      <c r="D732" s="167" t="s">
        <v>1213</v>
      </c>
      <c r="E732" s="167" t="s">
        <v>54</v>
      </c>
      <c r="F732" s="167" t="s">
        <v>1587</v>
      </c>
      <c r="G732" s="167" t="s">
        <v>226</v>
      </c>
    </row>
    <row r="733">
      <c r="A733" s="167" t="s">
        <v>1588</v>
      </c>
      <c r="B733" s="167" t="str">
        <f>IFERROR(__xludf.DUMMYFUNCTION("GOOGLEFINANCE(A733,""Name"")"),"#N/A")</f>
        <v>#N/A</v>
      </c>
      <c r="C733" s="167" t="s">
        <v>1589</v>
      </c>
      <c r="D733" s="167" t="s">
        <v>1277</v>
      </c>
      <c r="E733" s="167" t="s">
        <v>54</v>
      </c>
      <c r="F733" s="167" t="s">
        <v>1582</v>
      </c>
      <c r="G733" s="167" t="s">
        <v>226</v>
      </c>
    </row>
    <row r="734">
      <c r="A734" s="167" t="s">
        <v>1590</v>
      </c>
      <c r="B734" s="167" t="str">
        <f>IFERROR(__xludf.DUMMYFUNCTION("GOOGLEFINANCE(A734,""Name"")"),"Fundo de Investimento Imobiliario Panamby")</f>
        <v>Fundo de Investimento Imobiliario Panamby</v>
      </c>
      <c r="C734" s="167" t="s">
        <v>1591</v>
      </c>
      <c r="D734" s="167" t="s">
        <v>1313</v>
      </c>
      <c r="E734" s="167" t="s">
        <v>54</v>
      </c>
      <c r="F734" s="167" t="s">
        <v>1592</v>
      </c>
      <c r="G734" s="167" t="s">
        <v>226</v>
      </c>
    </row>
    <row r="735">
      <c r="A735" s="167" t="s">
        <v>1593</v>
      </c>
      <c r="B735" s="167" t="str">
        <f>IFERROR(__xludf.DUMMYFUNCTION("GOOGLEFINANCE(A735,""Name"")"),"#N/A")</f>
        <v>#N/A</v>
      </c>
      <c r="C735" s="167" t="s">
        <v>1594</v>
      </c>
      <c r="D735" s="167" t="s">
        <v>1221</v>
      </c>
      <c r="E735" s="167" t="s">
        <v>54</v>
      </c>
      <c r="F735" s="167" t="s">
        <v>1225</v>
      </c>
      <c r="G735" s="167" t="s">
        <v>226</v>
      </c>
    </row>
    <row r="736">
      <c r="A736" s="167" t="s">
        <v>1595</v>
      </c>
      <c r="B736" s="167" t="str">
        <f>IFERROR(__xludf.DUMMYFUNCTION("GOOGLEFINANCE(A736,""Name"")"),"Patria Edificios Corporativos FI Imobiliario-FII")</f>
        <v>Patria Edificios Corporativos FI Imobiliario-FII</v>
      </c>
      <c r="C736" s="167" t="s">
        <v>1596</v>
      </c>
      <c r="D736" s="167" t="s">
        <v>1221</v>
      </c>
      <c r="E736" s="167" t="s">
        <v>54</v>
      </c>
      <c r="F736" s="167" t="s">
        <v>1597</v>
      </c>
      <c r="G736" s="167" t="s">
        <v>226</v>
      </c>
    </row>
    <row r="737">
      <c r="A737" s="167" t="s">
        <v>1598</v>
      </c>
      <c r="B737" s="167" t="str">
        <f>IFERROR(__xludf.DUMMYFUNCTION("GOOGLEFINANCE(A737,""Name"")"),"Patria Logistica Fundo de Investimento Imobiliario")</f>
        <v>Patria Logistica Fundo de Investimento Imobiliario</v>
      </c>
      <c r="C737" s="167" t="s">
        <v>1599</v>
      </c>
      <c r="D737" s="167" t="s">
        <v>1277</v>
      </c>
      <c r="E737" s="167" t="s">
        <v>54</v>
      </c>
      <c r="F737" s="167" t="s">
        <v>1600</v>
      </c>
      <c r="G737" s="167" t="s">
        <v>226</v>
      </c>
    </row>
    <row r="738">
      <c r="A738" s="167" t="s">
        <v>1601</v>
      </c>
      <c r="B738" s="167" t="str">
        <f>IFERROR(__xludf.DUMMYFUNCTION("GOOGLEFINANCE(A738,""Name"")"),"Prologis Brazil Logistics Venture FII")</f>
        <v>Prologis Brazil Logistics Venture FII</v>
      </c>
      <c r="C738" s="167" t="s">
        <v>1602</v>
      </c>
      <c r="D738" s="167" t="s">
        <v>1277</v>
      </c>
      <c r="E738" s="167" t="s">
        <v>54</v>
      </c>
      <c r="F738" s="167" t="s">
        <v>1218</v>
      </c>
      <c r="G738" s="167" t="s">
        <v>226</v>
      </c>
    </row>
    <row r="739">
      <c r="A739" s="167" t="s">
        <v>1603</v>
      </c>
      <c r="B739" s="167" t="str">
        <f>IFERROR(__xludf.DUMMYFUNCTION("GOOGLEFINANCE(A739,""Name"")"),"#N/A")</f>
        <v>#N/A</v>
      </c>
      <c r="C739" s="167"/>
      <c r="D739" s="167" t="s">
        <v>1213</v>
      </c>
      <c r="E739" s="167" t="s">
        <v>54</v>
      </c>
      <c r="F739" s="167" t="s">
        <v>1225</v>
      </c>
      <c r="G739" s="167" t="s">
        <v>226</v>
      </c>
    </row>
    <row r="740">
      <c r="A740" s="167" t="s">
        <v>1604</v>
      </c>
      <c r="B740" s="167" t="str">
        <f>IFERROR(__xludf.DUMMYFUNCTION("GOOGLEFINANCE(A740,""Name"")"),"#N/A")</f>
        <v>#N/A</v>
      </c>
      <c r="C740" s="167" t="s">
        <v>1605</v>
      </c>
      <c r="D740" s="167" t="s">
        <v>1213</v>
      </c>
      <c r="E740" s="167" t="s">
        <v>54</v>
      </c>
      <c r="F740" s="167" t="s">
        <v>1566</v>
      </c>
      <c r="G740" s="167" t="s">
        <v>226</v>
      </c>
    </row>
    <row r="741">
      <c r="A741" s="167" t="s">
        <v>1606</v>
      </c>
      <c r="B741" s="167" t="str">
        <f>IFERROR(__xludf.DUMMYFUNCTION("GOOGLEFINANCE(A741,""Name"")"),"Polo FII Recebiveis Imobiliarios I")</f>
        <v>Polo FII Recebiveis Imobiliarios I</v>
      </c>
      <c r="C741" s="167" t="s">
        <v>1607</v>
      </c>
      <c r="D741" s="167" t="s">
        <v>1213</v>
      </c>
      <c r="E741" s="167" t="s">
        <v>54</v>
      </c>
      <c r="F741" s="167" t="s">
        <v>1239</v>
      </c>
      <c r="G741" s="167" t="s">
        <v>226</v>
      </c>
    </row>
    <row r="742">
      <c r="A742" s="167" t="s">
        <v>1608</v>
      </c>
      <c r="B742" s="167" t="str">
        <f>IFERROR(__xludf.DUMMYFUNCTION("GOOGLEFINANCE(A742,""Name"")"),"Polo Credito Imobiliario - FII")</f>
        <v>Polo Credito Imobiliario - FII</v>
      </c>
      <c r="C742" s="167" t="s">
        <v>1609</v>
      </c>
      <c r="D742" s="167" t="s">
        <v>1213</v>
      </c>
      <c r="E742" s="167" t="s">
        <v>54</v>
      </c>
      <c r="F742" s="167" t="s">
        <v>1239</v>
      </c>
      <c r="G742" s="167" t="s">
        <v>226</v>
      </c>
    </row>
    <row r="743">
      <c r="A743" s="167" t="s">
        <v>1610</v>
      </c>
      <c r="B743" s="167" t="str">
        <f>IFERROR(__xludf.DUMMYFUNCTION("GOOGLEFINANCE(A743,""Name"")"),"FII - FII Parque Dom Pedro Shopping Center")</f>
        <v>FII - FII Parque Dom Pedro Shopping Center</v>
      </c>
      <c r="C743" s="167" t="s">
        <v>1611</v>
      </c>
      <c r="D743" s="167" t="s">
        <v>1209</v>
      </c>
      <c r="E743" s="167" t="s">
        <v>54</v>
      </c>
      <c r="F743" s="167" t="s">
        <v>1225</v>
      </c>
      <c r="G743" s="167" t="s">
        <v>226</v>
      </c>
    </row>
    <row r="744">
      <c r="A744" s="167" t="s">
        <v>1612</v>
      </c>
      <c r="B744" s="167" t="str">
        <f>IFERROR(__xludf.DUMMYFUNCTION("GOOGLEFINANCE(A744,""Name"")"),"#N/A")</f>
        <v>#N/A</v>
      </c>
      <c r="C744" s="167" t="s">
        <v>54</v>
      </c>
      <c r="D744" s="167" t="s">
        <v>1209</v>
      </c>
      <c r="E744" s="167" t="s">
        <v>54</v>
      </c>
      <c r="F744" s="167" t="s">
        <v>1477</v>
      </c>
      <c r="G744" s="167" t="s">
        <v>226</v>
      </c>
    </row>
    <row r="745">
      <c r="A745" s="167" t="s">
        <v>1613</v>
      </c>
      <c r="B745" s="167" t="str">
        <f>IFERROR(__xludf.DUMMYFUNCTION("GOOGLEFINANCE(A745,""Name"")"),"#N/A")</f>
        <v>#N/A</v>
      </c>
      <c r="C745" s="167" t="s">
        <v>1614</v>
      </c>
      <c r="D745" s="167" t="s">
        <v>1306</v>
      </c>
      <c r="E745" s="167" t="s">
        <v>54</v>
      </c>
      <c r="F745" s="167" t="s">
        <v>1239</v>
      </c>
      <c r="G745" s="167" t="s">
        <v>226</v>
      </c>
    </row>
    <row r="746">
      <c r="A746" s="167" t="s">
        <v>1615</v>
      </c>
      <c r="B746" s="167" t="str">
        <f>IFERROR(__xludf.DUMMYFUNCTION("GOOGLEFINANCE(A746,""Name"")"),"Presidente Vargas FI Imobiliario - Classe Unica")</f>
        <v>Presidente Vargas FI Imobiliario - Classe Unica</v>
      </c>
      <c r="C746" s="167" t="s">
        <v>1616</v>
      </c>
      <c r="D746" s="167" t="s">
        <v>1221</v>
      </c>
      <c r="E746" s="167" t="s">
        <v>54</v>
      </c>
      <c r="F746" s="167" t="s">
        <v>1553</v>
      </c>
      <c r="G746" s="167" t="s">
        <v>226</v>
      </c>
    </row>
    <row r="747">
      <c r="A747" s="167" t="s">
        <v>1617</v>
      </c>
      <c r="B747" s="167" t="str">
        <f>IFERROR(__xludf.DUMMYFUNCTION("GOOGLEFINANCE(A747,""Name"")"),"#N/A")</f>
        <v>#N/A</v>
      </c>
      <c r="C747" s="167" t="s">
        <v>1618</v>
      </c>
      <c r="D747" s="167" t="s">
        <v>1209</v>
      </c>
      <c r="E747" s="167" t="s">
        <v>54</v>
      </c>
      <c r="F747" s="167" t="s">
        <v>1597</v>
      </c>
      <c r="G747" s="167" t="s">
        <v>226</v>
      </c>
    </row>
    <row r="748">
      <c r="A748" s="167" t="s">
        <v>1619</v>
      </c>
      <c r="B748" s="167" t="str">
        <f>IFERROR(__xludf.DUMMYFUNCTION("GOOGLEFINANCE(A748,""Name"")"),"FI Imobiliario VBI Prime Properties")</f>
        <v>FI Imobiliario VBI Prime Properties</v>
      </c>
      <c r="C748" s="167" t="s">
        <v>1620</v>
      </c>
      <c r="D748" s="167" t="s">
        <v>1277</v>
      </c>
      <c r="E748" s="167" t="s">
        <v>54</v>
      </c>
      <c r="F748" s="167" t="s">
        <v>1225</v>
      </c>
      <c r="G748" s="167" t="s">
        <v>226</v>
      </c>
    </row>
    <row r="749">
      <c r="A749" s="167" t="s">
        <v>1621</v>
      </c>
      <c r="B749" s="167" t="str">
        <f>IFERROR(__xludf.DUMMYFUNCTION("GOOGLEFINANCE(A749,""Name"")"),"#N/A")</f>
        <v>#N/A</v>
      </c>
      <c r="C749" s="167" t="s">
        <v>1622</v>
      </c>
      <c r="D749" s="167" t="s">
        <v>1020</v>
      </c>
      <c r="E749" s="167" t="s">
        <v>54</v>
      </c>
      <c r="F749" s="167" t="s">
        <v>1225</v>
      </c>
      <c r="G749" s="167" t="s">
        <v>226</v>
      </c>
    </row>
    <row r="750">
      <c r="A750" s="167" t="s">
        <v>1623</v>
      </c>
      <c r="B750" s="167" t="str">
        <f>IFERROR(__xludf.DUMMYFUNCTION("GOOGLEFINANCE(A750,""Name"")"),"#N/A")</f>
        <v>#N/A</v>
      </c>
      <c r="C750" s="167" t="s">
        <v>54</v>
      </c>
      <c r="D750" s="167" t="s">
        <v>1213</v>
      </c>
      <c r="E750" s="167" t="s">
        <v>54</v>
      </c>
      <c r="F750" s="167" t="s">
        <v>230</v>
      </c>
      <c r="G750" s="167" t="s">
        <v>226</v>
      </c>
    </row>
    <row r="751">
      <c r="A751" s="167" t="s">
        <v>1624</v>
      </c>
      <c r="B751" s="167" t="str">
        <f>IFERROR(__xludf.DUMMYFUNCTION("GOOGLEFINANCE(A751,""Name"")"),"#N/A")</f>
        <v>#N/A</v>
      </c>
      <c r="C751" s="167" t="s">
        <v>54</v>
      </c>
      <c r="D751" s="167" t="s">
        <v>1306</v>
      </c>
      <c r="E751" s="167" t="s">
        <v>54</v>
      </c>
      <c r="F751" s="167" t="s">
        <v>1625</v>
      </c>
      <c r="G751" s="167" t="s">
        <v>226</v>
      </c>
    </row>
    <row r="752">
      <c r="A752" s="167" t="s">
        <v>1626</v>
      </c>
      <c r="B752" s="167" t="str">
        <f>IFERROR(__xludf.DUMMYFUNCTION("GOOGLEFINANCE(A752,""Name"")"),"#N/A")</f>
        <v>#N/A</v>
      </c>
      <c r="C752" s="167" t="s">
        <v>1627</v>
      </c>
      <c r="D752" s="167" t="s">
        <v>1313</v>
      </c>
      <c r="E752" s="167" t="s">
        <v>54</v>
      </c>
      <c r="F752" s="167" t="s">
        <v>1336</v>
      </c>
      <c r="G752" s="167" t="s">
        <v>226</v>
      </c>
    </row>
    <row r="753">
      <c r="A753" s="167" t="s">
        <v>1628</v>
      </c>
      <c r="B753" s="167" t="str">
        <f>IFERROR(__xludf.DUMMYFUNCTION("GOOGLEFINANCE(A753,""Name"")"),"#N/A")</f>
        <v>#N/A</v>
      </c>
      <c r="C753" s="167" t="s">
        <v>1629</v>
      </c>
      <c r="D753" s="167" t="s">
        <v>1213</v>
      </c>
      <c r="E753" s="167" t="s">
        <v>54</v>
      </c>
      <c r="F753" s="167" t="s">
        <v>1210</v>
      </c>
      <c r="G753" s="167" t="s">
        <v>226</v>
      </c>
    </row>
    <row r="754">
      <c r="A754" s="167" t="s">
        <v>1630</v>
      </c>
      <c r="B754" s="167" t="str">
        <f>IFERROR(__xludf.DUMMYFUNCTION("GOOGLEFINANCE(A754,""Name"")"),"#N/A")</f>
        <v>#N/A</v>
      </c>
      <c r="C754" s="167" t="s">
        <v>1631</v>
      </c>
      <c r="D754" s="167" t="s">
        <v>1221</v>
      </c>
      <c r="E754" s="167" t="s">
        <v>54</v>
      </c>
      <c r="F754" s="167" t="s">
        <v>1218</v>
      </c>
      <c r="G754" s="167" t="s">
        <v>226</v>
      </c>
    </row>
    <row r="755">
      <c r="A755" s="167" t="s">
        <v>1632</v>
      </c>
      <c r="B755" s="167" t="str">
        <f>IFERROR(__xludf.DUMMYFUNCTION("GOOGLEFINANCE(A755,""Name"")"),"RB Capital Desenvolvimento Residencial II FII")</f>
        <v>RB Capital Desenvolvimento Residencial II FII</v>
      </c>
      <c r="C755" s="167" t="s">
        <v>1633</v>
      </c>
      <c r="D755" s="167" t="s">
        <v>1306</v>
      </c>
      <c r="E755" s="167" t="s">
        <v>54</v>
      </c>
      <c r="F755" s="167" t="s">
        <v>1239</v>
      </c>
      <c r="G755" s="167" t="s">
        <v>226</v>
      </c>
    </row>
    <row r="756">
      <c r="A756" s="167" t="s">
        <v>1634</v>
      </c>
      <c r="B756" s="167" t="str">
        <f>IFERROR(__xludf.DUMMYFUNCTION("GOOGLEFINANCE(A756,""Name"")"),"#N/A")</f>
        <v>#N/A</v>
      </c>
      <c r="C756" s="167" t="s">
        <v>1635</v>
      </c>
      <c r="D756" s="167" t="s">
        <v>1376</v>
      </c>
      <c r="E756" s="167" t="s">
        <v>54</v>
      </c>
      <c r="F756" s="167" t="s">
        <v>1210</v>
      </c>
      <c r="G756" s="167" t="s">
        <v>226</v>
      </c>
    </row>
    <row r="757">
      <c r="A757" s="167" t="s">
        <v>1636</v>
      </c>
      <c r="B757" s="167" t="str">
        <f>IFERROR(__xludf.DUMMYFUNCTION("GOOGLEFINANCE(A757,""Name"")"),"#N/A")</f>
        <v>#N/A</v>
      </c>
      <c r="C757" s="167" t="s">
        <v>1637</v>
      </c>
      <c r="D757" s="167" t="s">
        <v>1217</v>
      </c>
      <c r="E757" s="167" t="s">
        <v>54</v>
      </c>
      <c r="F757" s="167" t="s">
        <v>1218</v>
      </c>
      <c r="G757" s="167" t="s">
        <v>226</v>
      </c>
    </row>
    <row r="758">
      <c r="A758" s="167" t="s">
        <v>1638</v>
      </c>
      <c r="B758" s="167" t="str">
        <f>IFERROR(__xludf.DUMMYFUNCTION("GOOGLEFINANCE(A758,""Name"")"),"#N/A")</f>
        <v>#N/A</v>
      </c>
      <c r="C758" s="167" t="s">
        <v>1639</v>
      </c>
      <c r="D758" s="167" t="s">
        <v>1209</v>
      </c>
      <c r="E758" s="167" t="s">
        <v>54</v>
      </c>
      <c r="F758" s="167" t="s">
        <v>1239</v>
      </c>
      <c r="G758" s="167" t="s">
        <v>226</v>
      </c>
    </row>
    <row r="759">
      <c r="A759" s="167" t="s">
        <v>1640</v>
      </c>
      <c r="B759" s="167" t="str">
        <f>IFERROR(__xludf.DUMMYFUNCTION("GOOGLEFINANCE(A759,""Name"")"),"RB Cap Desenv Residencial IV FII")</f>
        <v>RB Cap Desenv Residencial IV FII</v>
      </c>
      <c r="C759" s="167" t="s">
        <v>1641</v>
      </c>
      <c r="D759" s="167" t="s">
        <v>1306</v>
      </c>
      <c r="E759" s="167" t="s">
        <v>54</v>
      </c>
      <c r="F759" s="167" t="s">
        <v>1239</v>
      </c>
      <c r="G759" s="167" t="s">
        <v>226</v>
      </c>
    </row>
    <row r="760">
      <c r="A760" s="167" t="s">
        <v>1642</v>
      </c>
      <c r="B760" s="167" t="str">
        <f>IFERROR(__xludf.DUMMYFUNCTION("GOOGLEFINANCE(A760,""Name"")"),"Rio Bravo Credito Imobiliario High Grade FII")</f>
        <v>Rio Bravo Credito Imobiliario High Grade FII</v>
      </c>
      <c r="C760" s="167" t="s">
        <v>1643</v>
      </c>
      <c r="D760" s="167" t="s">
        <v>1213</v>
      </c>
      <c r="E760" s="167" t="s">
        <v>54</v>
      </c>
      <c r="F760" s="167" t="s">
        <v>1218</v>
      </c>
      <c r="G760" s="167" t="s">
        <v>226</v>
      </c>
    </row>
    <row r="761">
      <c r="A761" s="167" t="s">
        <v>1644</v>
      </c>
      <c r="B761" s="167" t="str">
        <f>IFERROR(__xludf.DUMMYFUNCTION("GOOGLEFINANCE(A761,""Name"")"),"#N/A")</f>
        <v>#N/A</v>
      </c>
      <c r="C761" s="167" t="s">
        <v>54</v>
      </c>
      <c r="D761" s="167" t="s">
        <v>1213</v>
      </c>
      <c r="E761" s="167" t="s">
        <v>54</v>
      </c>
      <c r="F761" s="167" t="s">
        <v>1625</v>
      </c>
      <c r="G761" s="167" t="s">
        <v>226</v>
      </c>
    </row>
    <row r="762">
      <c r="A762" s="167" t="s">
        <v>1645</v>
      </c>
      <c r="B762" s="167" t="str">
        <f>IFERROR(__xludf.DUMMYFUNCTION("GOOGLEFINANCE(A762,""Name"")"),"#N/A")</f>
        <v>#N/A</v>
      </c>
      <c r="C762" s="167" t="s">
        <v>54</v>
      </c>
      <c r="D762" s="167" t="s">
        <v>1306</v>
      </c>
      <c r="E762" s="167" t="s">
        <v>54</v>
      </c>
      <c r="F762" s="167" t="s">
        <v>1625</v>
      </c>
      <c r="G762" s="167" t="s">
        <v>226</v>
      </c>
    </row>
    <row r="763">
      <c r="A763" s="167" t="s">
        <v>1646</v>
      </c>
      <c r="B763" s="167" t="str">
        <f>IFERROR(__xludf.DUMMYFUNCTION("GOOGLEFINANCE(A763,""Name"")"),"RB Capital Renda II FI Imobiliario")</f>
        <v>RB Capital Renda II FI Imobiliario</v>
      </c>
      <c r="C763" s="167" t="s">
        <v>1647</v>
      </c>
      <c r="D763" s="167" t="s">
        <v>1221</v>
      </c>
      <c r="E763" s="167" t="s">
        <v>54</v>
      </c>
      <c r="F763" s="167" t="s">
        <v>1257</v>
      </c>
      <c r="G763" s="167" t="s">
        <v>226</v>
      </c>
    </row>
    <row r="764">
      <c r="A764" s="167" t="s">
        <v>1648</v>
      </c>
      <c r="B764" s="167" t="str">
        <f>IFERROR(__xludf.DUMMYFUNCTION("GOOGLEFINANCE(A764,""Name"")"),"#N/A")</f>
        <v>#N/A</v>
      </c>
      <c r="C764" s="167" t="s">
        <v>1649</v>
      </c>
      <c r="D764" s="167" t="s">
        <v>1217</v>
      </c>
      <c r="E764" s="167" t="s">
        <v>54</v>
      </c>
      <c r="F764" s="167" t="s">
        <v>1225</v>
      </c>
      <c r="G764" s="167" t="s">
        <v>226</v>
      </c>
    </row>
    <row r="765">
      <c r="A765" s="167" t="s">
        <v>1650</v>
      </c>
      <c r="B765" s="167" t="str">
        <f>IFERROR(__xludf.DUMMYFUNCTION("GOOGLEFINANCE(A765,""Name"")"),"Rbr Log Fundo de Investimento Imobiliario")</f>
        <v>Rbr Log Fundo de Investimento Imobiliario</v>
      </c>
      <c r="C765" s="167" t="s">
        <v>1651</v>
      </c>
      <c r="D765" s="167" t="s">
        <v>1277</v>
      </c>
      <c r="E765" s="167" t="s">
        <v>54</v>
      </c>
      <c r="F765" s="167" t="s">
        <v>1218</v>
      </c>
      <c r="G765" s="167" t="s">
        <v>226</v>
      </c>
    </row>
    <row r="766">
      <c r="A766" s="167" t="s">
        <v>1652</v>
      </c>
      <c r="B766" s="167" t="str">
        <f>IFERROR(__xludf.DUMMYFUNCTION("GOOGLEFINANCE(A766,""Name"")"),"#N/A")</f>
        <v>#N/A</v>
      </c>
      <c r="C766" s="167" t="s">
        <v>1653</v>
      </c>
      <c r="D766" s="167" t="s">
        <v>1313</v>
      </c>
      <c r="E766" s="167" t="s">
        <v>54</v>
      </c>
      <c r="F766" s="167" t="s">
        <v>1225</v>
      </c>
      <c r="G766" s="167" t="s">
        <v>226</v>
      </c>
    </row>
    <row r="767">
      <c r="A767" s="167" t="s">
        <v>1654</v>
      </c>
      <c r="B767" s="167" t="str">
        <f>IFERROR(__xludf.DUMMYFUNCTION("GOOGLEFINANCE(A767,""Name"")"),"FI Imobiliario RBR Properties - FII")</f>
        <v>FI Imobiliario RBR Properties - FII</v>
      </c>
      <c r="C767" s="167" t="s">
        <v>1655</v>
      </c>
      <c r="D767" s="167" t="s">
        <v>1228</v>
      </c>
      <c r="E767" s="167" t="s">
        <v>54</v>
      </c>
      <c r="F767" s="167" t="s">
        <v>1218</v>
      </c>
      <c r="G767" s="167" t="s">
        <v>226</v>
      </c>
    </row>
    <row r="768">
      <c r="A768" s="167" t="s">
        <v>1656</v>
      </c>
      <c r="B768" s="167" t="str">
        <f>IFERROR(__xludf.DUMMYFUNCTION("GOOGLEFINANCE(A768,""Name"")"),"FI Imobiliario RBR Rendimento High Grade")</f>
        <v>FI Imobiliario RBR Rendimento High Grade</v>
      </c>
      <c r="C768" s="167" t="s">
        <v>1657</v>
      </c>
      <c r="D768" s="167" t="s">
        <v>1213</v>
      </c>
      <c r="E768" s="167" t="s">
        <v>54</v>
      </c>
      <c r="F768" s="167" t="s">
        <v>1225</v>
      </c>
      <c r="G768" s="167" t="s">
        <v>226</v>
      </c>
    </row>
    <row r="769">
      <c r="A769" s="167" t="s">
        <v>1658</v>
      </c>
      <c r="B769" s="167" t="str">
        <f>IFERROR(__xludf.DUMMYFUNCTION("GOOGLEFINANCE(A769,""Name"")"),"Fdo Inv Imob Rbr Private Credito Imob Cef")</f>
        <v>Fdo Inv Imob Rbr Private Credito Imob Cef</v>
      </c>
      <c r="C769" s="167" t="s">
        <v>1659</v>
      </c>
      <c r="D769" s="167" t="s">
        <v>1213</v>
      </c>
      <c r="E769" s="167" t="s">
        <v>54</v>
      </c>
      <c r="F769" s="167" t="s">
        <v>1225</v>
      </c>
      <c r="G769" s="167" t="s">
        <v>226</v>
      </c>
    </row>
    <row r="770">
      <c r="A770" s="167" t="s">
        <v>1660</v>
      </c>
      <c r="B770" s="167" t="str">
        <f>IFERROR(__xludf.DUMMYFUNCTION("GOOGLEFINANCE(A770,""Name"")"),"RB Capital TFO Situs FI Imobiliario - FII")</f>
        <v>RB Capital TFO Situs FI Imobiliario - FII</v>
      </c>
      <c r="C770" s="167" t="s">
        <v>1661</v>
      </c>
      <c r="D770" s="167" t="s">
        <v>1313</v>
      </c>
      <c r="E770" s="167" t="s">
        <v>54</v>
      </c>
      <c r="F770" s="167" t="s">
        <v>1239</v>
      </c>
      <c r="G770" s="167" t="s">
        <v>226</v>
      </c>
    </row>
    <row r="771">
      <c r="A771" s="167" t="s">
        <v>1662</v>
      </c>
      <c r="B771" s="167" t="str">
        <f>IFERROR(__xludf.DUMMYFUNCTION("GOOGLEFINANCE(A771,""Name"")"),"FII Rio Bravo Renda Varejo-FII")</f>
        <v>FII Rio Bravo Renda Varejo-FII</v>
      </c>
      <c r="C771" s="167" t="s">
        <v>1663</v>
      </c>
      <c r="D771" s="167" t="s">
        <v>1228</v>
      </c>
      <c r="E771" s="167" t="s">
        <v>54</v>
      </c>
      <c r="F771" s="167" t="s">
        <v>1210</v>
      </c>
      <c r="G771" s="167" t="s">
        <v>226</v>
      </c>
    </row>
    <row r="772">
      <c r="A772" s="167" t="s">
        <v>1664</v>
      </c>
      <c r="B772" s="167" t="str">
        <f>IFERROR(__xludf.DUMMYFUNCTION("GOOGLEFINANCE(A772,""Name"")"),"#N/A")</f>
        <v>#N/A</v>
      </c>
      <c r="C772" s="167" t="s">
        <v>1665</v>
      </c>
      <c r="D772" s="167" t="s">
        <v>1213</v>
      </c>
      <c r="E772" s="167" t="s">
        <v>54</v>
      </c>
      <c r="F772" s="167" t="s">
        <v>1210</v>
      </c>
      <c r="G772" s="167" t="s">
        <v>226</v>
      </c>
    </row>
    <row r="773">
      <c r="A773" s="167" t="s">
        <v>1666</v>
      </c>
      <c r="B773" s="167" t="str">
        <f>IFERROR(__xludf.DUMMYFUNCTION("GOOGLEFINANCE(A773,""Name"")"),"#N/A")</f>
        <v>#N/A</v>
      </c>
      <c r="C773" s="167" t="s">
        <v>54</v>
      </c>
      <c r="D773" s="167" t="s">
        <v>1209</v>
      </c>
      <c r="E773" s="167" t="s">
        <v>54</v>
      </c>
      <c r="F773" s="167" t="s">
        <v>223</v>
      </c>
      <c r="G773" s="167" t="s">
        <v>226</v>
      </c>
    </row>
    <row r="774">
      <c r="A774" s="167" t="s">
        <v>1667</v>
      </c>
      <c r="B774" s="167" t="str">
        <f>IFERROR(__xludf.DUMMYFUNCTION("GOOGLEFINANCE(A774,""Name"")"),"Grupo RCFA FI Imobiliario - Un")</f>
        <v>Grupo RCFA FI Imobiliario - Un</v>
      </c>
      <c r="C774" s="167" t="s">
        <v>1668</v>
      </c>
      <c r="D774" s="167" t="s">
        <v>1313</v>
      </c>
      <c r="E774" s="167" t="s">
        <v>54</v>
      </c>
      <c r="F774" s="167" t="s">
        <v>1669</v>
      </c>
      <c r="G774" s="167" t="s">
        <v>226</v>
      </c>
    </row>
    <row r="775">
      <c r="A775" s="167" t="s">
        <v>1670</v>
      </c>
      <c r="B775" s="167" t="str">
        <f>IFERROR(__xludf.DUMMYFUNCTION("GOOGLEFINANCE(A775,""Name"")"),"Rbr Desenvolvimento Comercial Feeder FOF - FII")</f>
        <v>Rbr Desenvolvimento Comercial Feeder FOF - FII</v>
      </c>
      <c r="C775" s="167" t="s">
        <v>1671</v>
      </c>
      <c r="D775" s="167" t="s">
        <v>1217</v>
      </c>
      <c r="E775" s="167" t="s">
        <v>54</v>
      </c>
      <c r="F775" s="167" t="s">
        <v>1218</v>
      </c>
      <c r="G775" s="167" t="s">
        <v>226</v>
      </c>
    </row>
    <row r="776">
      <c r="A776" s="167" t="s">
        <v>1672</v>
      </c>
      <c r="B776" s="167" t="str">
        <f>IFERROR(__xludf.DUMMYFUNCTION("GOOGLEFINANCE(A776,""Name"")"),"FI Imobiliario Rio Bravo Renda Corporativa")</f>
        <v>FI Imobiliario Rio Bravo Renda Corporativa</v>
      </c>
      <c r="C776" s="167" t="s">
        <v>1673</v>
      </c>
      <c r="D776" s="167" t="s">
        <v>1221</v>
      </c>
      <c r="E776" s="167" t="s">
        <v>54</v>
      </c>
      <c r="F776" s="167" t="s">
        <v>1210</v>
      </c>
      <c r="G776" s="167" t="s">
        <v>226</v>
      </c>
    </row>
    <row r="777">
      <c r="A777" s="167" t="s">
        <v>1674</v>
      </c>
      <c r="B777" s="167" t="str">
        <f>IFERROR(__xludf.DUMMYFUNCTION("GOOGLEFINANCE(A777,""Name"")"),"R Inv Rec Imob FII RL")</f>
        <v>R Inv Rec Imob FII RL</v>
      </c>
      <c r="C777" s="167" t="s">
        <v>1675</v>
      </c>
      <c r="D777" s="167" t="s">
        <v>1213</v>
      </c>
      <c r="E777" s="167" t="s">
        <v>54</v>
      </c>
      <c r="F777" s="167" t="s">
        <v>1239</v>
      </c>
      <c r="G777" s="167" t="s">
        <v>226</v>
      </c>
    </row>
    <row r="778">
      <c r="A778" s="167" t="s">
        <v>1676</v>
      </c>
      <c r="B778" s="167" t="str">
        <f>IFERROR(__xludf.DUMMYFUNCTION("GOOGLEFINANCE(A778,""Name"")"),"#N/A")</f>
        <v>#N/A</v>
      </c>
      <c r="C778" s="167" t="s">
        <v>1677</v>
      </c>
      <c r="D778" s="167" t="s">
        <v>1213</v>
      </c>
      <c r="E778" s="167" t="s">
        <v>54</v>
      </c>
      <c r="F778" s="167" t="s">
        <v>1257</v>
      </c>
      <c r="G778" s="167" t="s">
        <v>226</v>
      </c>
    </row>
    <row r="779">
      <c r="A779" s="167" t="s">
        <v>1678</v>
      </c>
      <c r="B779" s="167" t="str">
        <f>IFERROR(__xludf.DUMMYFUNCTION("GOOGLEFINANCE(A779,""Name"")"),"FI Imobiliario - FII Rec Renda Imobiliaria")</f>
        <v>FI Imobiliario - FII Rec Renda Imobiliaria</v>
      </c>
      <c r="C779" s="167" t="s">
        <v>1679</v>
      </c>
      <c r="D779" s="167" t="s">
        <v>1221</v>
      </c>
      <c r="E779" s="167" t="s">
        <v>54</v>
      </c>
      <c r="F779" s="167" t="s">
        <v>1218</v>
      </c>
      <c r="G779" s="167" t="s">
        <v>226</v>
      </c>
    </row>
    <row r="780">
      <c r="A780" s="167" t="s">
        <v>1680</v>
      </c>
      <c r="B780" s="167" t="str">
        <f>IFERROR(__xludf.DUMMYFUNCTION("GOOGLEFINANCE(A780,""Name"")"),"Singulare Fundo de Investimento Imobiliario Unica")</f>
        <v>Singulare Fundo de Investimento Imobiliario Unica</v>
      </c>
      <c r="C780" s="167" t="s">
        <v>1681</v>
      </c>
      <c r="D780" s="167" t="s">
        <v>1213</v>
      </c>
      <c r="E780" s="167" t="s">
        <v>54</v>
      </c>
      <c r="F780" s="167" t="s">
        <v>1682</v>
      </c>
      <c r="G780" s="167" t="s">
        <v>226</v>
      </c>
    </row>
    <row r="781">
      <c r="A781" s="167" t="s">
        <v>1683</v>
      </c>
      <c r="B781" s="167" t="str">
        <f>IFERROR(__xludf.DUMMYFUNCTION("GOOGLEFINANCE(A781,""Name"")"),"Fii Rb Capital I Fundo de Fundos")</f>
        <v>Fii Rb Capital I Fundo de Fundos</v>
      </c>
      <c r="C781" s="167" t="s">
        <v>1684</v>
      </c>
      <c r="D781" s="167" t="s">
        <v>1217</v>
      </c>
      <c r="E781" s="167" t="s">
        <v>54</v>
      </c>
      <c r="F781" s="167" t="s">
        <v>1218</v>
      </c>
      <c r="G781" s="167" t="s">
        <v>226</v>
      </c>
    </row>
    <row r="782">
      <c r="A782" s="167" t="s">
        <v>1685</v>
      </c>
      <c r="B782" s="167" t="str">
        <f>IFERROR(__xludf.DUMMYFUNCTION("GOOGLEFINANCE(A782,""Name"")"),"#N/A")</f>
        <v>#N/A</v>
      </c>
      <c r="C782" s="167" t="s">
        <v>1686</v>
      </c>
      <c r="D782" s="167" t="s">
        <v>1213</v>
      </c>
      <c r="E782" s="167" t="s">
        <v>54</v>
      </c>
      <c r="F782" s="167" t="s">
        <v>1257</v>
      </c>
      <c r="G782" s="167" t="s">
        <v>226</v>
      </c>
    </row>
    <row r="783">
      <c r="A783" s="167" t="s">
        <v>1687</v>
      </c>
      <c r="B783" s="167" t="str">
        <f>IFERROR(__xludf.DUMMYFUNCTION("GOOGLEFINANCE(A783,""Name"")"),"FII Imobiliario Rio Negro")</f>
        <v>FII Imobiliario Rio Negro</v>
      </c>
      <c r="C783" s="167" t="s">
        <v>1688</v>
      </c>
      <c r="D783" s="167" t="s">
        <v>1221</v>
      </c>
      <c r="E783" s="167" t="s">
        <v>54</v>
      </c>
      <c r="F783" s="167" t="s">
        <v>1210</v>
      </c>
      <c r="G783" s="167" t="s">
        <v>226</v>
      </c>
    </row>
    <row r="784">
      <c r="A784" s="167" t="s">
        <v>1689</v>
      </c>
      <c r="B784" s="167" t="str">
        <f>IFERROR(__xludf.DUMMYFUNCTION("GOOGLEFINANCE(A784,""Name"")"),"#N/A")</f>
        <v>#N/A</v>
      </c>
      <c r="C784" s="167" t="s">
        <v>1690</v>
      </c>
      <c r="D784" s="167" t="s">
        <v>1213</v>
      </c>
      <c r="E784" s="167" t="s">
        <v>54</v>
      </c>
      <c r="F784" s="167" t="s">
        <v>1218</v>
      </c>
      <c r="G784" s="167" t="s">
        <v>226</v>
      </c>
    </row>
    <row r="785">
      <c r="A785" s="167" t="s">
        <v>1691</v>
      </c>
      <c r="B785" s="167" t="str">
        <f>IFERROR(__xludf.DUMMYFUNCTION("GOOGLEFINANCE(A785,""Name"")"),"#N/A")</f>
        <v>#N/A</v>
      </c>
      <c r="C785" s="167" t="s">
        <v>54</v>
      </c>
      <c r="D785" s="167" t="s">
        <v>1228</v>
      </c>
      <c r="E785" s="167" t="s">
        <v>54</v>
      </c>
      <c r="F785" s="167" t="s">
        <v>1692</v>
      </c>
      <c r="G785" s="167" t="s">
        <v>226</v>
      </c>
    </row>
    <row r="786">
      <c r="A786" s="167" t="s">
        <v>1693</v>
      </c>
      <c r="B786" s="167" t="str">
        <f>IFERROR(__xludf.DUMMYFUNCTION("GOOGLEFINANCE(A786,""Name"")"),"RB Capital Desenvolvimento Residencial III - FII")</f>
        <v>RB Capital Desenvolvimento Residencial III - FII</v>
      </c>
      <c r="C786" s="167" t="s">
        <v>1694</v>
      </c>
      <c r="D786" s="167" t="s">
        <v>1306</v>
      </c>
      <c r="E786" s="167" t="s">
        <v>54</v>
      </c>
      <c r="F786" s="167" t="s">
        <v>1239</v>
      </c>
      <c r="G786" s="167" t="s">
        <v>226</v>
      </c>
    </row>
    <row r="787">
      <c r="A787" s="167" t="s">
        <v>1695</v>
      </c>
      <c r="B787" s="167" t="str">
        <f>IFERROR(__xludf.DUMMYFUNCTION("GOOGLEFINANCE(A787,""Name"")"),"#N/A")</f>
        <v>#N/A</v>
      </c>
      <c r="C787" s="167" t="s">
        <v>1696</v>
      </c>
      <c r="D787" s="167" t="s">
        <v>1217</v>
      </c>
      <c r="E787" s="167" t="s">
        <v>54</v>
      </c>
      <c r="F787" s="167" t="s">
        <v>1218</v>
      </c>
      <c r="G787" s="167" t="s">
        <v>226</v>
      </c>
    </row>
    <row r="788">
      <c r="A788" s="167" t="s">
        <v>1697</v>
      </c>
      <c r="B788" s="167" t="str">
        <f>IFERROR(__xludf.DUMMYFUNCTION("GOOGLEFINANCE(A788,""Name"")"),"#N/A")</f>
        <v>#N/A</v>
      </c>
      <c r="C788" s="167" t="s">
        <v>1698</v>
      </c>
      <c r="D788" s="167" t="s">
        <v>1251</v>
      </c>
      <c r="E788" s="167" t="s">
        <v>54</v>
      </c>
      <c r="F788" s="167" t="s">
        <v>1210</v>
      </c>
      <c r="G788" s="167" t="s">
        <v>226</v>
      </c>
    </row>
    <row r="789">
      <c r="A789" s="167" t="s">
        <v>1699</v>
      </c>
      <c r="B789" s="167" t="str">
        <f>IFERROR(__xludf.DUMMYFUNCTION("GOOGLEFINANCE(A789,""Name"")"),"#N/A")</f>
        <v>#N/A</v>
      </c>
      <c r="C789" s="167" t="s">
        <v>1700</v>
      </c>
      <c r="D789" s="167" t="s">
        <v>1213</v>
      </c>
      <c r="E789" s="167" t="s">
        <v>54</v>
      </c>
      <c r="F789" s="167" t="s">
        <v>1477</v>
      </c>
      <c r="G789" s="167" t="s">
        <v>226</v>
      </c>
    </row>
    <row r="790">
      <c r="A790" s="167" t="s">
        <v>1701</v>
      </c>
      <c r="B790" s="167" t="str">
        <f>IFERROR(__xludf.DUMMYFUNCTION("GOOGLEFINANCE(A790,""Name"")"),"#N/A")</f>
        <v>#N/A</v>
      </c>
      <c r="C790" s="167" t="s">
        <v>1702</v>
      </c>
      <c r="D790" s="167" t="s">
        <v>1221</v>
      </c>
      <c r="E790" s="167" t="s">
        <v>54</v>
      </c>
      <c r="F790" s="167" t="s">
        <v>1703</v>
      </c>
      <c r="G790" s="167" t="s">
        <v>226</v>
      </c>
    </row>
    <row r="791">
      <c r="A791" s="167" t="s">
        <v>1704</v>
      </c>
      <c r="B791" s="167" t="str">
        <f>IFERROR(__xludf.DUMMYFUNCTION("GOOGLEFINANCE(A791,""Name"")"),"#N/A")</f>
        <v>#N/A</v>
      </c>
      <c r="C791" s="167" t="s">
        <v>1705</v>
      </c>
      <c r="D791" s="167" t="s">
        <v>1221</v>
      </c>
      <c r="E791" s="167" t="s">
        <v>54</v>
      </c>
      <c r="F791" s="167" t="s">
        <v>1477</v>
      </c>
      <c r="G791" s="167" t="s">
        <v>226</v>
      </c>
    </row>
    <row r="792">
      <c r="A792" s="167" t="s">
        <v>1706</v>
      </c>
      <c r="B792" s="167" t="str">
        <f>IFERROR(__xludf.DUMMYFUNCTION("GOOGLEFINANCE(A792,""Name"")"),"SCP Fundo Investimento Imobiliario")</f>
        <v>SCP Fundo Investimento Imobiliario</v>
      </c>
      <c r="C792" s="167" t="s">
        <v>1707</v>
      </c>
      <c r="D792" s="167" t="s">
        <v>1209</v>
      </c>
      <c r="E792" s="167" t="s">
        <v>54</v>
      </c>
      <c r="F792" s="167" t="s">
        <v>1300</v>
      </c>
      <c r="G792" s="167" t="s">
        <v>226</v>
      </c>
    </row>
    <row r="793">
      <c r="A793" s="167" t="s">
        <v>1708</v>
      </c>
      <c r="B793" s="167" t="str">
        <f>IFERROR(__xludf.DUMMYFUNCTION("GOOGLEFINANCE(A793,""Name"")"),"#N/A")</f>
        <v>#N/A</v>
      </c>
      <c r="C793" s="167" t="s">
        <v>1709</v>
      </c>
      <c r="D793" s="167" t="s">
        <v>1277</v>
      </c>
      <c r="E793" s="167" t="s">
        <v>54</v>
      </c>
      <c r="F793" s="167" t="s">
        <v>1210</v>
      </c>
      <c r="G793" s="167" t="s">
        <v>226</v>
      </c>
    </row>
    <row r="794">
      <c r="A794" s="167" t="s">
        <v>1710</v>
      </c>
      <c r="B794" s="167" t="str">
        <f>IFERROR(__xludf.DUMMYFUNCTION("GOOGLEFINANCE(A794,""Name"")"),"#N/A")</f>
        <v>#N/A</v>
      </c>
      <c r="C794" s="167" t="s">
        <v>1711</v>
      </c>
      <c r="D794" s="167" t="s">
        <v>1221</v>
      </c>
      <c r="E794" s="167" t="s">
        <v>54</v>
      </c>
      <c r="F794" s="167" t="s">
        <v>1210</v>
      </c>
      <c r="G794" s="167" t="s">
        <v>226</v>
      </c>
    </row>
    <row r="795">
      <c r="A795" s="167" t="s">
        <v>1712</v>
      </c>
      <c r="B795" s="167" t="str">
        <f>IFERROR(__xludf.DUMMYFUNCTION("GOOGLEFINANCE(A795,""Name"")"),"#N/A")</f>
        <v>#N/A</v>
      </c>
      <c r="C795" s="167" t="s">
        <v>1713</v>
      </c>
      <c r="D795" s="167" t="s">
        <v>1209</v>
      </c>
      <c r="E795" s="167" t="s">
        <v>54</v>
      </c>
      <c r="F795" s="167" t="s">
        <v>1225</v>
      </c>
      <c r="G795" s="167" t="s">
        <v>226</v>
      </c>
    </row>
    <row r="796">
      <c r="A796" s="167" t="s">
        <v>1714</v>
      </c>
      <c r="B796" s="167" t="str">
        <f>IFERROR(__xludf.DUMMYFUNCTION("GOOGLEFINANCE(A796,""Name"")"),"#N/A")</f>
        <v>#N/A</v>
      </c>
      <c r="C796" s="167" t="s">
        <v>1715</v>
      </c>
      <c r="D796" s="167" t="s">
        <v>1209</v>
      </c>
      <c r="E796" s="167" t="s">
        <v>54</v>
      </c>
      <c r="F796" s="167" t="s">
        <v>1225</v>
      </c>
      <c r="G796" s="167" t="s">
        <v>226</v>
      </c>
    </row>
    <row r="797">
      <c r="A797" s="167" t="s">
        <v>1716</v>
      </c>
      <c r="B797" s="167" t="str">
        <f>IFERROR(__xludf.DUMMYFUNCTION("GOOGLEFINANCE(A797,""Name"")"),"FII Shopping Patio Higienopolis")</f>
        <v>FII Shopping Patio Higienopolis</v>
      </c>
      <c r="C797" s="167" t="s">
        <v>1717</v>
      </c>
      <c r="D797" s="167" t="s">
        <v>1209</v>
      </c>
      <c r="E797" s="167" t="s">
        <v>54</v>
      </c>
      <c r="F797" s="167" t="s">
        <v>1210</v>
      </c>
      <c r="G797" s="167" t="s">
        <v>226</v>
      </c>
    </row>
    <row r="798">
      <c r="A798" s="167" t="s">
        <v>1718</v>
      </c>
      <c r="B798" s="167" t="str">
        <f>IFERROR(__xludf.DUMMYFUNCTION("GOOGLEFINANCE(A798,""Name"")"),"SPA Fundo de Investimento Imobiliario")</f>
        <v>SPA Fundo de Investimento Imobiliario</v>
      </c>
      <c r="C798" s="167" t="s">
        <v>1719</v>
      </c>
      <c r="D798" s="167" t="s">
        <v>1209</v>
      </c>
      <c r="E798" s="167" t="s">
        <v>54</v>
      </c>
      <c r="F798" s="167" t="s">
        <v>1547</v>
      </c>
      <c r="G798" s="167" t="s">
        <v>226</v>
      </c>
    </row>
    <row r="799">
      <c r="A799" s="167" t="s">
        <v>1720</v>
      </c>
      <c r="B799" s="167" t="str">
        <f>IFERROR(__xludf.DUMMYFUNCTION("GOOGLEFINANCE(A799,""Name"")"),"SP Downtown Fundo Investimento Imobiliario - FII")</f>
        <v>SP Downtown Fundo Investimento Imobiliario - FII</v>
      </c>
      <c r="C799" s="167" t="s">
        <v>1721</v>
      </c>
      <c r="D799" s="167" t="s">
        <v>1221</v>
      </c>
      <c r="E799" s="167" t="s">
        <v>54</v>
      </c>
      <c r="F799" s="167" t="s">
        <v>1288</v>
      </c>
      <c r="G799" s="167" t="s">
        <v>226</v>
      </c>
    </row>
    <row r="800">
      <c r="A800" s="167" t="s">
        <v>1722</v>
      </c>
      <c r="B800" s="167" t="str">
        <f>IFERROR(__xludf.DUMMYFUNCTION("GOOGLEFINANCE(A800,""Name"")"),"#N/A")</f>
        <v>#N/A</v>
      </c>
      <c r="C800" s="167" t="s">
        <v>1723</v>
      </c>
      <c r="D800" s="167" t="s">
        <v>1209</v>
      </c>
      <c r="E800" s="167" t="s">
        <v>54</v>
      </c>
      <c r="F800" s="167" t="s">
        <v>1440</v>
      </c>
      <c r="G800" s="167" t="s">
        <v>226</v>
      </c>
    </row>
    <row r="801">
      <c r="A801" s="167" t="s">
        <v>1724</v>
      </c>
      <c r="B801" s="167" t="str">
        <f>IFERROR(__xludf.DUMMYFUNCTION("GOOGLEFINANCE(A801,""Name"")"),"#N/A")</f>
        <v>#N/A</v>
      </c>
      <c r="C801" s="167" t="s">
        <v>54</v>
      </c>
      <c r="D801" s="167" t="s">
        <v>1213</v>
      </c>
      <c r="E801" s="167" t="s">
        <v>54</v>
      </c>
      <c r="F801" s="167" t="s">
        <v>1477</v>
      </c>
      <c r="G801" s="167" t="s">
        <v>226</v>
      </c>
    </row>
    <row r="802">
      <c r="A802" s="167" t="s">
        <v>1725</v>
      </c>
      <c r="B802" s="167" t="str">
        <f>IFERROR(__xludf.DUMMYFUNCTION("GOOGLEFINANCE(A802,""Name"")"),"Starx FI Imobiliario")</f>
        <v>Starx FI Imobiliario</v>
      </c>
      <c r="C802" s="167" t="s">
        <v>1726</v>
      </c>
      <c r="D802" s="167" t="s">
        <v>1209</v>
      </c>
      <c r="E802" s="167" t="s">
        <v>54</v>
      </c>
      <c r="F802" s="167" t="s">
        <v>1239</v>
      </c>
      <c r="G802" s="167" t="s">
        <v>226</v>
      </c>
    </row>
    <row r="803">
      <c r="A803" s="167" t="s">
        <v>1727</v>
      </c>
      <c r="B803" s="167" t="str">
        <f>IFERROR(__xludf.DUMMYFUNCTION("GOOGLEFINANCE(A803,""Name"")"),"#N/A")</f>
        <v>#N/A</v>
      </c>
      <c r="C803" s="167" t="s">
        <v>1728</v>
      </c>
      <c r="D803" s="167" t="s">
        <v>1221</v>
      </c>
      <c r="E803" s="167" t="s">
        <v>54</v>
      </c>
      <c r="F803" s="167" t="s">
        <v>1225</v>
      </c>
      <c r="G803" s="167" t="s">
        <v>226</v>
      </c>
    </row>
    <row r="804">
      <c r="A804" s="167" t="s">
        <v>1729</v>
      </c>
      <c r="B804" s="167" t="str">
        <f>IFERROR(__xludf.DUMMYFUNCTION("GOOGLEFINANCE(A804,""Name"")"),"Treecorp Real Estate FII-I - Un")</f>
        <v>Treecorp Real Estate FII-I - Un</v>
      </c>
      <c r="C804" s="167" t="s">
        <v>1730</v>
      </c>
      <c r="D804" s="167" t="s">
        <v>1313</v>
      </c>
      <c r="E804" s="167" t="s">
        <v>54</v>
      </c>
      <c r="F804" s="167" t="s">
        <v>1300</v>
      </c>
      <c r="G804" s="167" t="s">
        <v>226</v>
      </c>
    </row>
    <row r="805">
      <c r="A805" s="167" t="s">
        <v>1731</v>
      </c>
      <c r="B805" s="167" t="str">
        <f>IFERROR(__xludf.DUMMYFUNCTION("GOOGLEFINANCE(A805,""Name"")"),"#N/A")</f>
        <v>#N/A</v>
      </c>
      <c r="C805" s="167" t="s">
        <v>1732</v>
      </c>
      <c r="D805" s="167" t="s">
        <v>1277</v>
      </c>
      <c r="E805" s="167" t="s">
        <v>54</v>
      </c>
      <c r="F805" s="167" t="s">
        <v>1218</v>
      </c>
      <c r="G805" s="167" t="s">
        <v>226</v>
      </c>
    </row>
    <row r="806">
      <c r="A806" s="167" t="s">
        <v>1733</v>
      </c>
      <c r="B806" s="167" t="str">
        <f>IFERROR(__xludf.DUMMYFUNCTION("GOOGLEFINANCE(A806,""Name"")"),"Tellus Properties FI Imobiliario RL")</f>
        <v>Tellus Properties FI Imobiliario RL</v>
      </c>
      <c r="C806" s="167" t="s">
        <v>1734</v>
      </c>
      <c r="D806" s="167" t="s">
        <v>1221</v>
      </c>
      <c r="E806" s="167" t="s">
        <v>54</v>
      </c>
      <c r="F806" s="167" t="s">
        <v>1218</v>
      </c>
      <c r="G806" s="167" t="s">
        <v>226</v>
      </c>
    </row>
    <row r="807">
      <c r="A807" s="167" t="s">
        <v>1735</v>
      </c>
      <c r="B807" s="167" t="str">
        <f>IFERROR(__xludf.DUMMYFUNCTION("GOOGLEFINANCE(A807,""Name"")"),"#N/A")</f>
        <v>#N/A</v>
      </c>
      <c r="C807" s="167" t="s">
        <v>1736</v>
      </c>
      <c r="D807" s="167" t="s">
        <v>1217</v>
      </c>
      <c r="E807" s="167" t="s">
        <v>54</v>
      </c>
      <c r="F807" s="167" t="s">
        <v>1246</v>
      </c>
      <c r="G807" s="167" t="s">
        <v>226</v>
      </c>
    </row>
    <row r="808">
      <c r="A808" s="167" t="s">
        <v>1737</v>
      </c>
      <c r="B808" s="167" t="str">
        <f>IFERROR(__xludf.DUMMYFUNCTION("GOOGLEFINANCE(A808,""Name"")"),"FII TG Ativo Real")</f>
        <v>FII TG Ativo Real</v>
      </c>
      <c r="C808" s="167" t="s">
        <v>1738</v>
      </c>
      <c r="D808" s="167" t="s">
        <v>1313</v>
      </c>
      <c r="E808" s="167" t="s">
        <v>54</v>
      </c>
      <c r="F808" s="167" t="s">
        <v>1440</v>
      </c>
      <c r="G808" s="167" t="s">
        <v>226</v>
      </c>
    </row>
    <row r="809">
      <c r="A809" s="167" t="s">
        <v>1739</v>
      </c>
      <c r="B809" s="167" t="str">
        <f>IFERROR(__xludf.DUMMYFUNCTION("GOOGLEFINANCE(A809,""Name"")"),"#N/A")</f>
        <v>#N/A</v>
      </c>
      <c r="C809" s="167" t="s">
        <v>1740</v>
      </c>
      <c r="D809" s="167" t="s">
        <v>1221</v>
      </c>
      <c r="E809" s="167" t="s">
        <v>54</v>
      </c>
      <c r="F809" s="167" t="s">
        <v>1225</v>
      </c>
      <c r="G809" s="167" t="s">
        <v>226</v>
      </c>
    </row>
    <row r="810">
      <c r="A810" s="167" t="s">
        <v>1741</v>
      </c>
      <c r="B810" s="167" t="str">
        <f>IFERROR(__xludf.DUMMYFUNCTION("GOOGLEFINANCE(A810,""Name"")"),"Tordesilhas EI Fundo de Investimento Imobiliario Closed Fund")</f>
        <v>Tordesilhas EI Fundo de Investimento Imobiliario Closed Fund</v>
      </c>
      <c r="C810" s="167" t="s">
        <v>1742</v>
      </c>
      <c r="D810" s="167" t="s">
        <v>1228</v>
      </c>
      <c r="E810" s="167" t="s">
        <v>54</v>
      </c>
      <c r="F810" s="167" t="s">
        <v>1440</v>
      </c>
      <c r="G810" s="167" t="s">
        <v>226</v>
      </c>
    </row>
    <row r="811">
      <c r="A811" s="167" t="s">
        <v>1743</v>
      </c>
      <c r="B811" s="167" t="str">
        <f>IFERROR(__xludf.DUMMYFUNCTION("GOOGLEFINANCE(A811,""Name"")"),"#N/A")</f>
        <v>#N/A</v>
      </c>
      <c r="C811" s="167" t="s">
        <v>1744</v>
      </c>
      <c r="D811" s="167" t="s">
        <v>1313</v>
      </c>
      <c r="E811" s="167" t="s">
        <v>54</v>
      </c>
      <c r="F811" s="167" t="s">
        <v>1440</v>
      </c>
      <c r="G811" s="167" t="s">
        <v>226</v>
      </c>
    </row>
    <row r="812">
      <c r="A812" s="167" t="s">
        <v>1745</v>
      </c>
      <c r="B812" s="167" t="str">
        <f>IFERROR(__xludf.DUMMYFUNCTION("GOOGLEFINANCE(A812,""Name"")"),"#N/A")</f>
        <v>#N/A</v>
      </c>
      <c r="C812" s="167" t="s">
        <v>1746</v>
      </c>
      <c r="D812" s="167" t="s">
        <v>1313</v>
      </c>
      <c r="E812" s="167" t="s">
        <v>54</v>
      </c>
      <c r="F812" s="167" t="s">
        <v>1440</v>
      </c>
      <c r="G812" s="167" t="s">
        <v>226</v>
      </c>
    </row>
    <row r="813">
      <c r="A813" s="167" t="s">
        <v>1747</v>
      </c>
      <c r="B813" s="167" t="str">
        <f>IFERROR(__xludf.DUMMYFUNCTION("GOOGLEFINANCE(A813,""Name"")"),"FII - FII Torre Norte Subclasse A")</f>
        <v>FII - FII Torre Norte Subclasse A</v>
      </c>
      <c r="C813" s="167" t="s">
        <v>1748</v>
      </c>
      <c r="D813" s="167" t="s">
        <v>1221</v>
      </c>
      <c r="E813" s="167" t="s">
        <v>54</v>
      </c>
      <c r="F813" s="167" t="s">
        <v>1225</v>
      </c>
      <c r="G813" s="167" t="s">
        <v>226</v>
      </c>
    </row>
    <row r="814">
      <c r="A814" s="167" t="s">
        <v>1749</v>
      </c>
      <c r="B814" s="167" t="str">
        <f>IFERROR(__xludf.DUMMYFUNCTION("GOOGLEFINANCE(A814,""Name"")"),"Trx Real Estate II Fundo de Investimento Imobiliario Closed Fund")</f>
        <v>Trx Real Estate II Fundo de Investimento Imobiliario Closed Fund</v>
      </c>
      <c r="C814" s="167" t="s">
        <v>1750</v>
      </c>
      <c r="D814" s="167" t="s">
        <v>1277</v>
      </c>
      <c r="E814" s="167" t="s">
        <v>54</v>
      </c>
      <c r="F814" s="167" t="s">
        <v>1218</v>
      </c>
      <c r="G814" s="167" t="s">
        <v>226</v>
      </c>
    </row>
    <row r="815">
      <c r="A815" s="167" t="s">
        <v>1751</v>
      </c>
      <c r="B815" s="167" t="str">
        <f>IFERROR(__xludf.DUMMYFUNCTION("GOOGLEFINANCE(A815,""Name"")"),"TRX Real Estate FII Closed Fund")</f>
        <v>TRX Real Estate FII Closed Fund</v>
      </c>
      <c r="C815" s="167" t="s">
        <v>1752</v>
      </c>
      <c r="D815" s="167" t="s">
        <v>1277</v>
      </c>
      <c r="E815" s="167" t="s">
        <v>54</v>
      </c>
      <c r="F815" s="167" t="s">
        <v>1218</v>
      </c>
      <c r="G815" s="167" t="s">
        <v>226</v>
      </c>
    </row>
    <row r="816">
      <c r="A816" s="167" t="s">
        <v>1753</v>
      </c>
      <c r="B816" s="167" t="str">
        <f>IFERROR(__xludf.DUMMYFUNCTION("GOOGLEFINANCE(A816,""Name"")"),"Transinc Fundo de Investimento Imobiliario - FII")</f>
        <v>Transinc Fundo de Investimento Imobiliario - FII</v>
      </c>
      <c r="C816" s="167" t="s">
        <v>1754</v>
      </c>
      <c r="D816" s="167" t="s">
        <v>1221</v>
      </c>
      <c r="E816" s="167" t="s">
        <v>54</v>
      </c>
      <c r="F816" s="167" t="s">
        <v>1225</v>
      </c>
      <c r="G816" s="167" t="s">
        <v>226</v>
      </c>
    </row>
    <row r="817">
      <c r="A817" s="167" t="s">
        <v>1755</v>
      </c>
      <c r="B817" s="167" t="str">
        <f>IFERROR(__xludf.DUMMYFUNCTION("GOOGLEFINANCE(A817,""Name"")"),"#N/A")</f>
        <v>#N/A</v>
      </c>
      <c r="C817" s="167" t="s">
        <v>54</v>
      </c>
      <c r="D817" s="167" t="s">
        <v>1213</v>
      </c>
      <c r="E817" s="167" t="s">
        <v>54</v>
      </c>
      <c r="F817" s="167" t="s">
        <v>1218</v>
      </c>
      <c r="G817" s="167" t="s">
        <v>226</v>
      </c>
    </row>
    <row r="818">
      <c r="A818" s="167" t="s">
        <v>1756</v>
      </c>
      <c r="B818" s="167" t="str">
        <f>IFERROR(__xludf.DUMMYFUNCTION("GOOGLEFINANCE(A818,""Name"")"),"#N/A")</f>
        <v>#N/A</v>
      </c>
      <c r="C818" s="167" t="s">
        <v>54</v>
      </c>
      <c r="D818" s="167" t="s">
        <v>1313</v>
      </c>
      <c r="E818" s="167" t="s">
        <v>54</v>
      </c>
      <c r="F818" s="167" t="s">
        <v>1236</v>
      </c>
      <c r="G818" s="167" t="s">
        <v>226</v>
      </c>
    </row>
    <row r="819">
      <c r="A819" s="167" t="s">
        <v>1757</v>
      </c>
      <c r="B819" s="167" t="str">
        <f>IFERROR(__xludf.DUMMYFUNCTION("GOOGLEFINANCE(A819,""Name"")"),"Urca Prime Renda FII")</f>
        <v>Urca Prime Renda FII</v>
      </c>
      <c r="C819" s="167" t="s">
        <v>1758</v>
      </c>
      <c r="D819" s="167" t="s">
        <v>1228</v>
      </c>
      <c r="E819" s="167" t="s">
        <v>54</v>
      </c>
      <c r="F819" s="167" t="s">
        <v>1440</v>
      </c>
      <c r="G819" s="167" t="s">
        <v>226</v>
      </c>
    </row>
    <row r="820">
      <c r="A820" s="167" t="s">
        <v>1759</v>
      </c>
      <c r="B820" s="167" t="str">
        <f>IFERROR(__xludf.DUMMYFUNCTION("GOOGLEFINANCE(A820,""Name"")"),"Vectis Juros Real FI Imobiliario FII")</f>
        <v>Vectis Juros Real FI Imobiliario FII</v>
      </c>
      <c r="C820" s="167" t="s">
        <v>1760</v>
      </c>
      <c r="D820" s="167" t="s">
        <v>1213</v>
      </c>
      <c r="E820" s="167" t="s">
        <v>54</v>
      </c>
      <c r="F820" s="167" t="s">
        <v>230</v>
      </c>
      <c r="G820" s="167" t="s">
        <v>226</v>
      </c>
    </row>
    <row r="821">
      <c r="A821" s="167" t="s">
        <v>1761</v>
      </c>
      <c r="B821" s="167" t="str">
        <f>IFERROR(__xludf.DUMMYFUNCTION("GOOGLEFINANCE(A821,""Name"")"),"Fundo Investimento Imobiliario Vereda")</f>
        <v>Fundo Investimento Imobiliario Vereda</v>
      </c>
      <c r="C821" s="167" t="s">
        <v>1762</v>
      </c>
      <c r="D821" s="167" t="s">
        <v>1221</v>
      </c>
      <c r="E821" s="167" t="s">
        <v>54</v>
      </c>
      <c r="F821" s="167" t="s">
        <v>1440</v>
      </c>
      <c r="G821" s="167" t="s">
        <v>226</v>
      </c>
    </row>
    <row r="822">
      <c r="A822" s="167" t="s">
        <v>1763</v>
      </c>
      <c r="B822" s="167" t="str">
        <f>IFERROR(__xludf.DUMMYFUNCTION("GOOGLEFINANCE(A822,""Name"")"),"Valora Cri Indice de Preco FI Imobiliario - FII")</f>
        <v>Valora Cri Indice de Preco FI Imobiliario - FII</v>
      </c>
      <c r="C822" s="167" t="s">
        <v>1764</v>
      </c>
      <c r="D822" s="167" t="s">
        <v>1213</v>
      </c>
      <c r="E822" s="167" t="s">
        <v>54</v>
      </c>
      <c r="F822" s="167" t="s">
        <v>1225</v>
      </c>
      <c r="G822" s="167" t="s">
        <v>226</v>
      </c>
    </row>
    <row r="823">
      <c r="A823" s="167" t="s">
        <v>1765</v>
      </c>
      <c r="B823" s="167" t="str">
        <f>IFERROR(__xludf.DUMMYFUNCTION("GOOGLEFINANCE(A823,""Name"")"),"Valora RE III FI Imobiliario-FII")</f>
        <v>Valora RE III FI Imobiliario-FII</v>
      </c>
      <c r="C823" s="167" t="s">
        <v>1766</v>
      </c>
      <c r="D823" s="167" t="s">
        <v>1213</v>
      </c>
      <c r="E823" s="167" t="s">
        <v>54</v>
      </c>
      <c r="F823" s="167" t="s">
        <v>1225</v>
      </c>
      <c r="G823" s="167" t="s">
        <v>226</v>
      </c>
    </row>
    <row r="824">
      <c r="A824" s="167" t="s">
        <v>1767</v>
      </c>
      <c r="B824" s="167" t="str">
        <f>IFERROR(__xludf.DUMMYFUNCTION("GOOGLEFINANCE(A824,""Name"")"),"Vic Desenvolvimento - Vintage 20/21 FII")</f>
        <v>Vic Desenvolvimento - Vintage 20/21 FII</v>
      </c>
      <c r="C824" s="167" t="s">
        <v>1768</v>
      </c>
      <c r="D824" s="167" t="s">
        <v>1313</v>
      </c>
      <c r="E824" s="167" t="s">
        <v>54</v>
      </c>
      <c r="F824" s="167" t="s">
        <v>1566</v>
      </c>
      <c r="G824" s="167" t="s">
        <v>226</v>
      </c>
    </row>
    <row r="825">
      <c r="A825" s="167" t="s">
        <v>1769</v>
      </c>
      <c r="B825" s="167" t="str">
        <f>IFERROR(__xludf.DUMMYFUNCTION("GOOGLEFINANCE(A825,""Name"")"),"#N/A")</f>
        <v>#N/A</v>
      </c>
      <c r="C825" s="167" t="s">
        <v>1770</v>
      </c>
      <c r="D825" s="167" t="s">
        <v>1213</v>
      </c>
      <c r="E825" s="167" t="s">
        <v>54</v>
      </c>
      <c r="F825" s="167" t="s">
        <v>215</v>
      </c>
      <c r="G825" s="167" t="s">
        <v>226</v>
      </c>
    </row>
    <row r="826">
      <c r="A826" s="167" t="s">
        <v>1771</v>
      </c>
      <c r="B826" s="167" t="str">
        <f>IFERROR(__xludf.DUMMYFUNCTION("GOOGLEFINANCE(A826,""Name"")"),"Vinci Logistica Fundo de Investimento Imobiliario")</f>
        <v>Vinci Logistica Fundo de Investimento Imobiliario</v>
      </c>
      <c r="C826" s="167" t="s">
        <v>1772</v>
      </c>
      <c r="D826" s="167" t="s">
        <v>1277</v>
      </c>
      <c r="E826" s="167" t="s">
        <v>54</v>
      </c>
      <c r="F826" s="167" t="s">
        <v>215</v>
      </c>
      <c r="G826" s="167" t="s">
        <v>226</v>
      </c>
    </row>
    <row r="827">
      <c r="A827" s="167" t="s">
        <v>1773</v>
      </c>
      <c r="B827" s="167" t="str">
        <f>IFERROR(__xludf.DUMMYFUNCTION("GOOGLEFINANCE(A827,""Name"")"),"Vinci Offices FII")</f>
        <v>Vinci Offices FII</v>
      </c>
      <c r="C827" s="167" t="s">
        <v>1774</v>
      </c>
      <c r="D827" s="167" t="s">
        <v>1221</v>
      </c>
      <c r="E827" s="167" t="s">
        <v>54</v>
      </c>
      <c r="F827" s="167" t="s">
        <v>215</v>
      </c>
      <c r="G827" s="167" t="s">
        <v>226</v>
      </c>
    </row>
    <row r="828">
      <c r="A828" s="167" t="s">
        <v>84</v>
      </c>
      <c r="B828" s="167" t="str">
        <f>IFERROR(__xludf.DUMMYFUNCTION("GOOGLEFINANCE(A828,""Name"")"),"Vinci Shopping Centers FI Imobiliario")</f>
        <v>Vinci Shopping Centers FI Imobiliario</v>
      </c>
      <c r="C828" s="167" t="s">
        <v>1775</v>
      </c>
      <c r="D828" s="167" t="s">
        <v>1209</v>
      </c>
      <c r="E828" s="167" t="s">
        <v>54</v>
      </c>
      <c r="F828" s="167" t="s">
        <v>215</v>
      </c>
      <c r="G828" s="167" t="s">
        <v>226</v>
      </c>
    </row>
    <row r="829">
      <c r="A829" s="167" t="s">
        <v>1776</v>
      </c>
      <c r="B829" s="167" t="str">
        <f>IFERROR(__xludf.DUMMYFUNCTION("GOOGLEFINANCE(A829,""Name"")"),"#N/A")</f>
        <v>#N/A</v>
      </c>
      <c r="C829" s="167" t="s">
        <v>1777</v>
      </c>
      <c r="D829" s="167" t="s">
        <v>1221</v>
      </c>
      <c r="E829" s="167" t="s">
        <v>54</v>
      </c>
      <c r="F829" s="167" t="s">
        <v>1321</v>
      </c>
      <c r="G829" s="167" t="s">
        <v>226</v>
      </c>
    </row>
    <row r="830">
      <c r="A830" s="167" t="s">
        <v>1778</v>
      </c>
      <c r="B830" s="167" t="str">
        <f>IFERROR(__xludf.DUMMYFUNCTION("GOOGLEFINANCE(A830,""Name"")"),"#N/A")</f>
        <v>#N/A</v>
      </c>
      <c r="C830" s="167" t="s">
        <v>1779</v>
      </c>
      <c r="D830" s="167" t="s">
        <v>1221</v>
      </c>
      <c r="E830" s="167" t="s">
        <v>54</v>
      </c>
      <c r="F830" s="167" t="s">
        <v>1239</v>
      </c>
      <c r="G830" s="167" t="s">
        <v>226</v>
      </c>
    </row>
    <row r="831">
      <c r="A831" s="167" t="s">
        <v>1780</v>
      </c>
      <c r="B831" s="167" t="str">
        <f>IFERROR(__xludf.DUMMYFUNCTION("GOOGLEFINANCE(A831,""Name"")"),"Tivio Securities FII - Unica")</f>
        <v>Tivio Securities FII - Unica</v>
      </c>
      <c r="C831" s="167" t="s">
        <v>1781</v>
      </c>
      <c r="D831" s="167" t="s">
        <v>1213</v>
      </c>
      <c r="E831" s="167" t="s">
        <v>54</v>
      </c>
      <c r="F831" s="167" t="s">
        <v>1257</v>
      </c>
      <c r="G831" s="167" t="s">
        <v>226</v>
      </c>
    </row>
    <row r="832">
      <c r="A832" s="167" t="s">
        <v>1782</v>
      </c>
      <c r="B832" s="167" t="str">
        <f>IFERROR(__xludf.DUMMYFUNCTION("GOOGLEFINANCE(A832,""Name"")"),"FI Imobiliario Polo Shopping Indaiatuba")</f>
        <v>FI Imobiliario Polo Shopping Indaiatuba</v>
      </c>
      <c r="C832" s="167" t="s">
        <v>1783</v>
      </c>
      <c r="D832" s="167" t="s">
        <v>1209</v>
      </c>
      <c r="E832" s="167" t="s">
        <v>54</v>
      </c>
      <c r="F832" s="167" t="s">
        <v>1257</v>
      </c>
      <c r="G832" s="167" t="s">
        <v>226</v>
      </c>
    </row>
    <row r="833">
      <c r="A833" s="167" t="s">
        <v>1784</v>
      </c>
      <c r="B833" s="167" t="str">
        <f>IFERROR(__xludf.DUMMYFUNCTION("GOOGLEFINANCE(A833,""Name"")"),"Fator Verita Fundo Investimento Imobiliario - FII")</f>
        <v>Fator Verita Fundo Investimento Imobiliario - FII</v>
      </c>
      <c r="C833" s="167" t="s">
        <v>1785</v>
      </c>
      <c r="D833" s="167" t="s">
        <v>1213</v>
      </c>
      <c r="E833" s="167" t="s">
        <v>54</v>
      </c>
      <c r="F833" s="167" t="s">
        <v>1786</v>
      </c>
      <c r="G833" s="167" t="s">
        <v>226</v>
      </c>
    </row>
    <row r="834">
      <c r="A834" s="167" t="s">
        <v>1787</v>
      </c>
      <c r="B834" s="167" t="str">
        <f>IFERROR(__xludf.DUMMYFUNCTION("GOOGLEFINANCE(A834,""Name"")"),"#N/A")</f>
        <v>#N/A</v>
      </c>
      <c r="C834" s="167" t="s">
        <v>1788</v>
      </c>
      <c r="D834" s="167" t="s">
        <v>1213</v>
      </c>
      <c r="E834" s="167" t="s">
        <v>54</v>
      </c>
      <c r="F834" s="167" t="s">
        <v>1257</v>
      </c>
      <c r="G834" s="167" t="s">
        <v>226</v>
      </c>
    </row>
    <row r="835">
      <c r="A835" s="167" t="s">
        <v>1789</v>
      </c>
      <c r="B835" s="167" t="str">
        <f>IFERROR(__xludf.DUMMYFUNCTION("GOOGLEFINANCE(A835,""Name"")"),"FI Imobiliario Votorantim Shopping")</f>
        <v>FI Imobiliario Votorantim Shopping</v>
      </c>
      <c r="C835" s="167" t="s">
        <v>1790</v>
      </c>
      <c r="D835" s="167" t="s">
        <v>1209</v>
      </c>
      <c r="E835" s="167" t="s">
        <v>54</v>
      </c>
      <c r="F835" s="167" t="s">
        <v>1257</v>
      </c>
      <c r="G835" s="167" t="s">
        <v>226</v>
      </c>
    </row>
    <row r="836">
      <c r="A836" s="167" t="s">
        <v>1791</v>
      </c>
      <c r="B836" s="167" t="str">
        <f>IFERROR(__xludf.DUMMYFUNCTION("GOOGLEFINANCE(A836,""Name"")"),"#N/A")</f>
        <v>#N/A</v>
      </c>
      <c r="C836" s="167" t="s">
        <v>1792</v>
      </c>
      <c r="D836" s="167" t="s">
        <v>1277</v>
      </c>
      <c r="E836" s="167" t="s">
        <v>54</v>
      </c>
      <c r="F836" s="167" t="s">
        <v>1257</v>
      </c>
      <c r="G836" s="167" t="s">
        <v>226</v>
      </c>
    </row>
    <row r="837">
      <c r="A837" s="167" t="s">
        <v>1793</v>
      </c>
      <c r="B837" s="167" t="str">
        <f>IFERROR(__xludf.DUMMYFUNCTION("GOOGLEFINANCE(A837,""Name"")"),"#N/A")</f>
        <v>#N/A</v>
      </c>
      <c r="C837" s="167" t="s">
        <v>1794</v>
      </c>
      <c r="D837" s="167" t="s">
        <v>1221</v>
      </c>
      <c r="E837" s="167" t="s">
        <v>54</v>
      </c>
      <c r="F837" s="167" t="s">
        <v>1257</v>
      </c>
      <c r="G837" s="167" t="s">
        <v>226</v>
      </c>
    </row>
    <row r="838">
      <c r="A838" s="167" t="s">
        <v>1795</v>
      </c>
      <c r="B838" s="167" t="str">
        <f>IFERROR(__xludf.DUMMYFUNCTION("GOOGLEFINANCE(A838,""Name"")"),"Fundo de Investimento Imobiliario Plus")</f>
        <v>Fundo de Investimento Imobiliario Plus</v>
      </c>
      <c r="C838" s="167" t="s">
        <v>1796</v>
      </c>
      <c r="D838" s="167" t="s">
        <v>1277</v>
      </c>
      <c r="E838" s="167" t="s">
        <v>54</v>
      </c>
      <c r="F838" s="167" t="s">
        <v>1225</v>
      </c>
      <c r="G838" s="167" t="s">
        <v>226</v>
      </c>
    </row>
    <row r="839">
      <c r="A839" s="167" t="s">
        <v>1797</v>
      </c>
      <c r="B839" s="167" t="str">
        <f>IFERROR(__xludf.DUMMYFUNCTION("GOOGLEFINANCE(A839,""Name"")"),"#N/A")</f>
        <v>#N/A</v>
      </c>
      <c r="C839" s="167" t="s">
        <v>1798</v>
      </c>
      <c r="D839" s="167" t="s">
        <v>1209</v>
      </c>
      <c r="E839" s="167" t="s">
        <v>54</v>
      </c>
      <c r="F839" s="167" t="s">
        <v>1257</v>
      </c>
      <c r="G839" s="167" t="s">
        <v>226</v>
      </c>
    </row>
    <row r="840">
      <c r="A840" s="167" t="s">
        <v>1799</v>
      </c>
      <c r="B840" s="167" t="str">
        <f>IFERROR(__xludf.DUMMYFUNCTION("GOOGLEFINANCE(A840,""Name"")"),"#N/A")</f>
        <v>#N/A</v>
      </c>
      <c r="C840" s="167" t="s">
        <v>1800</v>
      </c>
      <c r="D840" s="167" t="s">
        <v>1313</v>
      </c>
      <c r="E840" s="167" t="s">
        <v>54</v>
      </c>
      <c r="F840" s="167" t="s">
        <v>1257</v>
      </c>
      <c r="G840" s="167" t="s">
        <v>226</v>
      </c>
    </row>
    <row r="841">
      <c r="A841" s="167" t="s">
        <v>1801</v>
      </c>
      <c r="B841" s="167" t="str">
        <f>IFERROR(__xludf.DUMMYFUNCTION("GOOGLEFINANCE(A841,""Name"")"),"#N/A")</f>
        <v>#N/A</v>
      </c>
      <c r="C841" s="167" t="s">
        <v>1802</v>
      </c>
      <c r="D841" s="167" t="s">
        <v>1277</v>
      </c>
      <c r="E841" s="167" t="s">
        <v>54</v>
      </c>
      <c r="F841" s="167" t="s">
        <v>1225</v>
      </c>
      <c r="G841" s="167" t="s">
        <v>226</v>
      </c>
    </row>
    <row r="842">
      <c r="A842" s="167" t="s">
        <v>1803</v>
      </c>
      <c r="B842" s="167" t="str">
        <f>IFERROR(__xludf.DUMMYFUNCTION("GOOGLEFINANCE(A842,""Name"")"),"Genesis Multiestrategia FI Imobiliario FII Unica")</f>
        <v>Genesis Multiestrategia FI Imobiliario FII Unica</v>
      </c>
      <c r="C842" s="167" t="s">
        <v>1804</v>
      </c>
      <c r="D842" s="167" t="s">
        <v>1313</v>
      </c>
      <c r="E842" s="167" t="s">
        <v>54</v>
      </c>
      <c r="F842" s="167" t="s">
        <v>1805</v>
      </c>
      <c r="G842" s="167" t="s">
        <v>226</v>
      </c>
    </row>
    <row r="843">
      <c r="A843" s="167" t="s">
        <v>1806</v>
      </c>
      <c r="B843" s="167" t="str">
        <f>IFERROR(__xludf.DUMMYFUNCTION("GOOGLEFINANCE(A843,""Name"")"),"#N/A")</f>
        <v>#N/A</v>
      </c>
      <c r="C843" s="167" t="s">
        <v>1807</v>
      </c>
      <c r="D843" s="167" t="s">
        <v>1213</v>
      </c>
      <c r="E843" s="167" t="s">
        <v>54</v>
      </c>
      <c r="F843" s="167" t="s">
        <v>1625</v>
      </c>
      <c r="G843" s="167" t="s">
        <v>226</v>
      </c>
    </row>
    <row r="844">
      <c r="A844" s="167" t="s">
        <v>1808</v>
      </c>
      <c r="B844" s="167" t="str">
        <f>IFERROR(__xludf.DUMMYFUNCTION("GOOGLEFINANCE(A844,""Name"")"),"Shopping West Plaza FI Imobiliario - Un")</f>
        <v>Shopping West Plaza FI Imobiliario - Un</v>
      </c>
      <c r="C844" s="167" t="s">
        <v>1809</v>
      </c>
      <c r="D844" s="167" t="s">
        <v>1209</v>
      </c>
      <c r="E844" s="167" t="s">
        <v>54</v>
      </c>
      <c r="F844" s="167" t="s">
        <v>1246</v>
      </c>
      <c r="G844" s="167" t="s">
        <v>226</v>
      </c>
    </row>
    <row r="845">
      <c r="A845" s="167" t="s">
        <v>1810</v>
      </c>
      <c r="B845" s="167" t="str">
        <f>IFERROR(__xludf.DUMMYFUNCTION("GOOGLEFINANCE(A845,""Name"")"),"#N/A")</f>
        <v>#N/A</v>
      </c>
      <c r="C845" s="167" t="s">
        <v>1811</v>
      </c>
      <c r="D845" s="167" t="s">
        <v>1221</v>
      </c>
      <c r="E845" s="167" t="s">
        <v>54</v>
      </c>
      <c r="F845" s="167" t="s">
        <v>1582</v>
      </c>
      <c r="G845" s="167" t="s">
        <v>226</v>
      </c>
    </row>
    <row r="846">
      <c r="A846" s="167" t="s">
        <v>1812</v>
      </c>
      <c r="B846" s="167" t="str">
        <f>IFERROR(__xludf.DUMMYFUNCTION("GOOGLEFINANCE(A846,""Name"")"),"XP Credito Imobiliario Fdo Inv Mob")</f>
        <v>XP Credito Imobiliario Fdo Inv Mob</v>
      </c>
      <c r="C846" s="167" t="s">
        <v>1813</v>
      </c>
      <c r="D846" s="167" t="s">
        <v>1213</v>
      </c>
      <c r="E846" s="167" t="s">
        <v>54</v>
      </c>
      <c r="F846" s="167" t="s">
        <v>1440</v>
      </c>
      <c r="G846" s="167" t="s">
        <v>226</v>
      </c>
    </row>
    <row r="847">
      <c r="A847" s="167" t="s">
        <v>1814</v>
      </c>
      <c r="B847" s="167" t="str">
        <f>IFERROR(__xludf.DUMMYFUNCTION("GOOGLEFINANCE(A847,""Name"")"),"XP Corporate Macae FI Imobiliario - Un")</f>
        <v>XP Corporate Macae FI Imobiliario - Un</v>
      </c>
      <c r="C847" s="167" t="s">
        <v>1815</v>
      </c>
      <c r="D847" s="167" t="s">
        <v>1221</v>
      </c>
      <c r="E847" s="167" t="s">
        <v>54</v>
      </c>
      <c r="F847" s="167" t="s">
        <v>1210</v>
      </c>
      <c r="G847" s="167" t="s">
        <v>226</v>
      </c>
    </row>
    <row r="848">
      <c r="A848" s="167" t="s">
        <v>1816</v>
      </c>
      <c r="B848" s="167" t="str">
        <f>IFERROR(__xludf.DUMMYFUNCTION("GOOGLEFINANCE(A848,""Name"")"),"#N/A")</f>
        <v>#N/A</v>
      </c>
      <c r="C848" s="167" t="s">
        <v>1817</v>
      </c>
      <c r="D848" s="167" t="s">
        <v>1213</v>
      </c>
      <c r="E848" s="167" t="s">
        <v>54</v>
      </c>
      <c r="F848" s="167" t="s">
        <v>1625</v>
      </c>
      <c r="G848" s="167" t="s">
        <v>226</v>
      </c>
    </row>
    <row r="849">
      <c r="A849" s="167" t="s">
        <v>1818</v>
      </c>
      <c r="B849" s="167" t="str">
        <f>IFERROR(__xludf.DUMMYFUNCTION("GOOGLEFINANCE(A849,""Name"")"),"#N/A")</f>
        <v>#N/A</v>
      </c>
      <c r="C849" s="167" t="s">
        <v>1819</v>
      </c>
      <c r="D849" s="167" t="s">
        <v>1242</v>
      </c>
      <c r="E849" s="167" t="s">
        <v>54</v>
      </c>
      <c r="F849" s="167" t="s">
        <v>1288</v>
      </c>
      <c r="G849" s="167" t="s">
        <v>226</v>
      </c>
    </row>
    <row r="850">
      <c r="A850" s="167" t="s">
        <v>1820</v>
      </c>
      <c r="B850" s="167" t="str">
        <f>IFERROR(__xludf.DUMMYFUNCTION("GOOGLEFINANCE(A850,""Name"")"),"#N/A")</f>
        <v>#N/A</v>
      </c>
      <c r="C850" s="167" t="s">
        <v>1819</v>
      </c>
      <c r="D850" s="167" t="s">
        <v>1242</v>
      </c>
      <c r="E850" s="167" t="s">
        <v>54</v>
      </c>
      <c r="F850" s="167" t="s">
        <v>1288</v>
      </c>
      <c r="G850" s="167" t="s">
        <v>226</v>
      </c>
    </row>
    <row r="851">
      <c r="A851" s="167" t="s">
        <v>1821</v>
      </c>
      <c r="B851" s="167" t="str">
        <f>IFERROR(__xludf.DUMMYFUNCTION("GOOGLEFINANCE(A851,""Name"")"),"XP Industrial Fundo de Investimento Imobiliario")</f>
        <v>XP Industrial Fundo de Investimento Imobiliario</v>
      </c>
      <c r="C851" s="167" t="s">
        <v>1822</v>
      </c>
      <c r="D851" s="167" t="s">
        <v>1277</v>
      </c>
      <c r="E851" s="167" t="s">
        <v>54</v>
      </c>
      <c r="F851" s="167" t="s">
        <v>1440</v>
      </c>
      <c r="G851" s="167" t="s">
        <v>226</v>
      </c>
    </row>
    <row r="852">
      <c r="A852" s="167" t="s">
        <v>1823</v>
      </c>
      <c r="B852" s="167" t="str">
        <f>IFERROR(__xludf.DUMMYFUNCTION("GOOGLEFINANCE(A852,""Name"")"),"XP Log Fundo de Investimento Imobiliario-FII")</f>
        <v>XP Log Fundo de Investimento Imobiliario-FII</v>
      </c>
      <c r="C852" s="167" t="s">
        <v>1824</v>
      </c>
      <c r="D852" s="167" t="s">
        <v>1277</v>
      </c>
      <c r="E852" s="167" t="s">
        <v>54</v>
      </c>
      <c r="F852" s="167" t="s">
        <v>1440</v>
      </c>
      <c r="G852" s="167" t="s">
        <v>226</v>
      </c>
    </row>
    <row r="853">
      <c r="A853" s="167" t="s">
        <v>1825</v>
      </c>
      <c r="B853" s="167" t="str">
        <f>IFERROR(__xludf.DUMMYFUNCTION("GOOGLEFINANCE(A853,""Name"")"),"XP Malls Fundo de Investimento Imobiliario")</f>
        <v>XP Malls Fundo de Investimento Imobiliario</v>
      </c>
      <c r="C853" s="167" t="s">
        <v>1826</v>
      </c>
      <c r="D853" s="167" t="s">
        <v>1209</v>
      </c>
      <c r="E853" s="167" t="s">
        <v>54</v>
      </c>
      <c r="F853" s="167" t="s">
        <v>1225</v>
      </c>
      <c r="G853" s="167" t="s">
        <v>226</v>
      </c>
    </row>
    <row r="854">
      <c r="A854" s="167" t="s">
        <v>1827</v>
      </c>
      <c r="B854" s="167" t="str">
        <f>IFERROR(__xludf.DUMMYFUNCTION("GOOGLEFINANCE(A854,""Name"")"),"#N/A")</f>
        <v>#N/A</v>
      </c>
      <c r="C854" s="167" t="s">
        <v>1828</v>
      </c>
      <c r="D854" s="167" t="s">
        <v>1221</v>
      </c>
      <c r="E854" s="167" t="s">
        <v>54</v>
      </c>
      <c r="F854" s="167" t="s">
        <v>1440</v>
      </c>
      <c r="G854" s="167" t="s">
        <v>226</v>
      </c>
    </row>
    <row r="855">
      <c r="A855" s="167" t="s">
        <v>1829</v>
      </c>
      <c r="B855" s="167" t="str">
        <f>IFERROR(__xludf.DUMMYFUNCTION("GOOGLEFINANCE(A855,""Name"")"),"Xp Selection Fundo de Fundos Inv Imob Fii")</f>
        <v>Xp Selection Fundo de Fundos Inv Imob Fii</v>
      </c>
      <c r="C855" s="167" t="s">
        <v>1830</v>
      </c>
      <c r="D855" s="167" t="s">
        <v>1217</v>
      </c>
      <c r="E855" s="167" t="s">
        <v>54</v>
      </c>
      <c r="F855" s="167" t="s">
        <v>1440</v>
      </c>
      <c r="G855" s="167" t="s">
        <v>226</v>
      </c>
    </row>
    <row r="856">
      <c r="A856" s="167" t="s">
        <v>1831</v>
      </c>
      <c r="B856" s="167" t="str">
        <f>IFERROR(__xludf.DUMMYFUNCTION("GOOGLEFINANCE(A856,""Name"")"),"#N/A")</f>
        <v>#N/A</v>
      </c>
      <c r="C856" s="167" t="s">
        <v>1832</v>
      </c>
      <c r="D856" s="167" t="s">
        <v>1221</v>
      </c>
      <c r="E856" s="167" t="s">
        <v>54</v>
      </c>
      <c r="F856" s="167" t="s">
        <v>1225</v>
      </c>
      <c r="G856" s="167" t="s">
        <v>226</v>
      </c>
    </row>
    <row r="857">
      <c r="A857" s="167" t="s">
        <v>1833</v>
      </c>
      <c r="B857" s="167" t="str">
        <f>IFERROR(__xludf.DUMMYFUNCTION("GOOGLEFINANCE(A857,""Name"")"),"Kilima Fi Em Cotas Fdo Imob Suno 30")</f>
        <v>Kilima Fi Em Cotas Fdo Imob Suno 30</v>
      </c>
      <c r="C857" s="167" t="s">
        <v>1834</v>
      </c>
      <c r="D857" s="167" t="s">
        <v>1217</v>
      </c>
      <c r="E857" s="167"/>
      <c r="F857" s="167" t="s">
        <v>1218</v>
      </c>
      <c r="G857" s="167" t="s">
        <v>226</v>
      </c>
    </row>
    <row r="858">
      <c r="A858" s="167" t="s">
        <v>1835</v>
      </c>
      <c r="B858" s="167" t="str">
        <f>IFERROR(__xludf.DUMMYFUNCTION("GOOGLEFINANCE(A858,""Name"")"),"#N/A")</f>
        <v>#N/A</v>
      </c>
      <c r="C858" s="167" t="s">
        <v>54</v>
      </c>
      <c r="D858" s="167" t="s">
        <v>1277</v>
      </c>
      <c r="E858" s="167" t="s">
        <v>54</v>
      </c>
      <c r="F858" s="167" t="s">
        <v>1440</v>
      </c>
      <c r="G858" s="167" t="s">
        <v>226</v>
      </c>
    </row>
    <row r="859">
      <c r="A859" s="167" t="s">
        <v>1836</v>
      </c>
      <c r="B859" s="167" t="str">
        <f>IFERROR(__xludf.DUMMYFUNCTION("GOOGLEFINANCE(A859,""Name"")"),"Devant Recebiveis Imobiliarios FII")</f>
        <v>Devant Recebiveis Imobiliarios FII</v>
      </c>
      <c r="C859" s="167" t="s">
        <v>1837</v>
      </c>
      <c r="D859" s="167" t="s">
        <v>1213</v>
      </c>
      <c r="E859" s="167"/>
      <c r="F859" s="167" t="s">
        <v>1838</v>
      </c>
      <c r="G859" s="167" t="s">
        <v>226</v>
      </c>
    </row>
    <row r="860">
      <c r="A860" s="167" t="s">
        <v>1839</v>
      </c>
      <c r="B860" s="167" t="str">
        <f>IFERROR(__xludf.DUMMYFUNCTION("GOOGLEFINANCE(A860,""Name"")"),"FII Rec Recebiveis Imobiliarios")</f>
        <v>FII Rec Recebiveis Imobiliarios</v>
      </c>
      <c r="C860" s="167" t="s">
        <v>1840</v>
      </c>
      <c r="D860" s="167" t="s">
        <v>1213</v>
      </c>
      <c r="E860" s="167"/>
      <c r="F860" s="167" t="s">
        <v>215</v>
      </c>
      <c r="G860" s="167" t="s">
        <v>226</v>
      </c>
    </row>
    <row r="861">
      <c r="A861" s="167" t="s">
        <v>1841</v>
      </c>
      <c r="B861" s="167" t="str">
        <f>IFERROR(__xludf.DUMMYFUNCTION("GOOGLEFINANCE(A861,""Name"")"),"Capitania Securities II FII - Classe A")</f>
        <v>Capitania Securities II FII - Classe A</v>
      </c>
      <c r="C861" s="167" t="s">
        <v>1333</v>
      </c>
      <c r="D861" s="167" t="s">
        <v>1213</v>
      </c>
      <c r="E861" s="167"/>
      <c r="F861" s="167" t="s">
        <v>1225</v>
      </c>
      <c r="G861" s="167" t="s">
        <v>226</v>
      </c>
    </row>
    <row r="862">
      <c r="A862" s="167" t="s">
        <v>1842</v>
      </c>
      <c r="B862" s="167" t="str">
        <f>IFERROR(__xludf.DUMMYFUNCTION("GOOGLEFINANCE(A862,""Name"")"),"#N/A")</f>
        <v>#N/A</v>
      </c>
      <c r="C862" s="167" t="s">
        <v>1843</v>
      </c>
      <c r="D862" s="167" t="s">
        <v>1844</v>
      </c>
      <c r="E862" s="167"/>
      <c r="F862" s="167" t="s">
        <v>1845</v>
      </c>
      <c r="G862" s="167" t="s">
        <v>226</v>
      </c>
    </row>
    <row r="863">
      <c r="A863" s="167" t="s">
        <v>1846</v>
      </c>
      <c r="B863" s="167" t="str">
        <f>IFERROR(__xludf.DUMMYFUNCTION("GOOGLEFINANCE(A863,""Name"")"),"HSI Ativos Financeiros FII")</f>
        <v>HSI Ativos Financeiros FII</v>
      </c>
      <c r="C863" s="167" t="s">
        <v>1847</v>
      </c>
      <c r="D863" s="167" t="s">
        <v>1848</v>
      </c>
      <c r="E863" s="167"/>
      <c r="F863" s="167" t="s">
        <v>215</v>
      </c>
      <c r="G863" s="167" t="s">
        <v>226</v>
      </c>
    </row>
    <row r="864">
      <c r="A864" s="167" t="s">
        <v>1849</v>
      </c>
      <c r="B864" s="167" t="str">
        <f>IFERROR(__xludf.DUMMYFUNCTION("GOOGLEFINANCE(A864,""Name"")"),"FI Imobiliario Riza Terrax unica")</f>
        <v>FI Imobiliario Riza Terrax unica</v>
      </c>
      <c r="C864" s="167" t="s">
        <v>1850</v>
      </c>
      <c r="D864" s="167" t="s">
        <v>1228</v>
      </c>
      <c r="E864" s="167"/>
      <c r="F864" s="167" t="s">
        <v>1851</v>
      </c>
      <c r="G864" s="167" t="s">
        <v>226</v>
      </c>
    </row>
    <row r="865">
      <c r="A865" s="167" t="s">
        <v>1852</v>
      </c>
      <c r="B865" s="167" t="str">
        <f>IFERROR(__xludf.DUMMYFUNCTION("GOOGLEFINANCE(A865,""Name"")"),"Suno Fundo de Fundos de Investimento Imobiliario")</f>
        <v>Suno Fundo de Fundos de Investimento Imobiliario</v>
      </c>
      <c r="C865" s="167" t="s">
        <v>1853</v>
      </c>
      <c r="D865" s="167" t="s">
        <v>1848</v>
      </c>
      <c r="E865" s="167"/>
      <c r="F865" s="167" t="s">
        <v>1854</v>
      </c>
      <c r="G865" s="167" t="s">
        <v>226</v>
      </c>
    </row>
    <row r="866">
      <c r="A866" s="167" t="s">
        <v>1855</v>
      </c>
      <c r="B866" s="167" t="str">
        <f>IFERROR(__xludf.DUMMYFUNCTION("GOOGLEFINANCE(A866,""Name"")"),"Kinea Securities FI Imobiliario FII")</f>
        <v>Kinea Securities FI Imobiliario FII</v>
      </c>
      <c r="C866" s="167" t="s">
        <v>1856</v>
      </c>
      <c r="D866" s="167" t="s">
        <v>1844</v>
      </c>
      <c r="E866" s="167"/>
      <c r="F866" s="167" t="s">
        <v>1857</v>
      </c>
      <c r="G866" s="167" t="s">
        <v>226</v>
      </c>
    </row>
    <row r="867">
      <c r="A867" s="167" t="s">
        <v>1858</v>
      </c>
      <c r="B867" s="167" t="str">
        <f>IFERROR(__xludf.DUMMYFUNCTION("GOOGLEFINANCE(A867,""Name"")"),"Sequoia III Renda Imobiliaria FII")</f>
        <v>Sequoia III Renda Imobiliaria FII</v>
      </c>
      <c r="C867" s="167" t="s">
        <v>1859</v>
      </c>
      <c r="D867" s="167" t="s">
        <v>1020</v>
      </c>
      <c r="E867" s="167"/>
      <c r="F867" s="167" t="s">
        <v>1860</v>
      </c>
      <c r="G867" s="167" t="s">
        <v>226</v>
      </c>
    </row>
    <row r="868">
      <c r="A868" s="167" t="s">
        <v>1861</v>
      </c>
      <c r="B868" s="167" t="str">
        <f>IFERROR(__xludf.DUMMYFUNCTION("GOOGLEFINANCE(A868,""Name"")"),"Versalhes Recebiveis Imobiliarios - FII")</f>
        <v>Versalhes Recebiveis Imobiliarios - FII</v>
      </c>
      <c r="C868" s="167" t="s">
        <v>1862</v>
      </c>
      <c r="D868" s="167" t="s">
        <v>1228</v>
      </c>
      <c r="E868" s="167"/>
      <c r="F868" s="167" t="s">
        <v>1860</v>
      </c>
      <c r="G868" s="167" t="s">
        <v>226</v>
      </c>
    </row>
    <row r="869">
      <c r="A869" s="167" t="s">
        <v>1863</v>
      </c>
      <c r="B869" s="167" t="str">
        <f>IFERROR(__xludf.DUMMYFUNCTION("GOOGLEFINANCE(A869,""Name"")"),"#N/A")</f>
        <v>#N/A</v>
      </c>
      <c r="C869" s="167" t="s">
        <v>1864</v>
      </c>
      <c r="D869" s="167" t="s">
        <v>1277</v>
      </c>
      <c r="E869" s="167"/>
      <c r="F869" s="167" t="s">
        <v>1288</v>
      </c>
      <c r="G869" s="167" t="s">
        <v>226</v>
      </c>
    </row>
    <row r="870">
      <c r="A870" s="167" t="s">
        <v>1865</v>
      </c>
      <c r="B870" s="167" t="str">
        <f>IFERROR(__xludf.DUMMYFUNCTION("GOOGLEFINANCE(A870,""Name"")"),"Valora Hedge Fund FI Imobiliario - FII - Unica")</f>
        <v>Valora Hedge Fund FI Imobiliario - FII - Unica</v>
      </c>
      <c r="C870" s="167" t="s">
        <v>1866</v>
      </c>
      <c r="D870" s="167" t="s">
        <v>1228</v>
      </c>
      <c r="E870" s="167"/>
      <c r="F870" s="167" t="s">
        <v>1867</v>
      </c>
      <c r="G870" s="167" t="s">
        <v>226</v>
      </c>
    </row>
    <row r="871">
      <c r="A871" s="167" t="s">
        <v>1868</v>
      </c>
      <c r="B871" s="167" t="str">
        <f>IFERROR(__xludf.DUMMYFUNCTION("GOOGLEFINANCE(A871,""Name"")"),"#N/A")</f>
        <v>#N/A</v>
      </c>
      <c r="C871" s="167" t="s">
        <v>1869</v>
      </c>
      <c r="D871" s="167" t="s">
        <v>1848</v>
      </c>
      <c r="E871" s="167"/>
      <c r="F871" s="167" t="s">
        <v>1854</v>
      </c>
      <c r="G871" s="167" t="s">
        <v>226</v>
      </c>
    </row>
    <row r="872">
      <c r="A872" s="167" t="s">
        <v>1870</v>
      </c>
      <c r="B872" s="167" t="str">
        <f>IFERROR(__xludf.DUMMYFUNCTION("GOOGLEFINANCE(A872,""Name"")"),"HSI Log I FI Imobiliario")</f>
        <v>HSI Log I FI Imobiliario</v>
      </c>
      <c r="C872" s="167" t="s">
        <v>1871</v>
      </c>
      <c r="D872" s="167" t="s">
        <v>1277</v>
      </c>
      <c r="E872" s="167"/>
      <c r="F872" s="167" t="s">
        <v>215</v>
      </c>
      <c r="G872" s="167" t="s">
        <v>226</v>
      </c>
    </row>
    <row r="873">
      <c r="A873" s="167" t="s">
        <v>1872</v>
      </c>
      <c r="B873" s="167" t="str">
        <f>IFERROR(__xludf.DUMMYFUNCTION("GOOGLEFINANCE(A873,""Name"")"),"#N/A")</f>
        <v>#N/A</v>
      </c>
      <c r="C873" s="167" t="s">
        <v>1873</v>
      </c>
      <c r="D873" s="167" t="s">
        <v>1277</v>
      </c>
      <c r="E873" s="167"/>
      <c r="F873" s="167" t="s">
        <v>215</v>
      </c>
      <c r="G873" s="167" t="s">
        <v>226</v>
      </c>
    </row>
    <row r="874">
      <c r="A874" s="167" t="s">
        <v>1874</v>
      </c>
      <c r="B874" s="167" t="str">
        <f>IFERROR(__xludf.DUMMYFUNCTION("GOOGLEFINANCE(A874,""Name"")"),"Suno Recebiveis Imobiliarios FI Imobiliario")</f>
        <v>Suno Recebiveis Imobiliarios FI Imobiliario</v>
      </c>
      <c r="C874" s="167" t="s">
        <v>1875</v>
      </c>
      <c r="D874" s="167" t="s">
        <v>1876</v>
      </c>
      <c r="E874" s="167"/>
      <c r="F874" s="167" t="s">
        <v>1854</v>
      </c>
      <c r="G874" s="167" t="s">
        <v>226</v>
      </c>
    </row>
    <row r="875">
      <c r="A875" s="167" t="s">
        <v>1877</v>
      </c>
      <c r="B875" s="167" t="str">
        <f>IFERROR(__xludf.DUMMYFUNCTION("GOOGLEFINANCE(A875,""Name"")"),"#N/A")</f>
        <v>#N/A</v>
      </c>
      <c r="C875" s="167" t="s">
        <v>1878</v>
      </c>
      <c r="D875" s="167" t="s">
        <v>1879</v>
      </c>
      <c r="E875" s="167"/>
      <c r="F875" s="167" t="s">
        <v>1854</v>
      </c>
      <c r="G875" s="167" t="s">
        <v>226</v>
      </c>
    </row>
    <row r="876">
      <c r="A876" s="167" t="s">
        <v>1880</v>
      </c>
      <c r="B876" s="167" t="str">
        <f>IFERROR(__xludf.DUMMYFUNCTION("GOOGLEFINANCE(A876,""Name"")"),"#N/A")</f>
        <v>#N/A</v>
      </c>
      <c r="C876" s="167" t="s">
        <v>1881</v>
      </c>
      <c r="D876" s="167" t="s">
        <v>1848</v>
      </c>
      <c r="E876" s="167"/>
      <c r="F876" s="167" t="s">
        <v>215</v>
      </c>
      <c r="G876" s="167" t="s">
        <v>226</v>
      </c>
    </row>
    <row r="877">
      <c r="A877" s="167" t="s">
        <v>1882</v>
      </c>
      <c r="B877" s="167" t="str">
        <f>IFERROR(__xludf.DUMMYFUNCTION("GOOGLEFINANCE(A877,""Name"")"),"#N/A")</f>
        <v>#N/A</v>
      </c>
      <c r="C877" s="167" t="s">
        <v>1883</v>
      </c>
      <c r="D877" s="167" t="s">
        <v>1884</v>
      </c>
      <c r="E877" s="167"/>
      <c r="F877" s="167" t="s">
        <v>1885</v>
      </c>
      <c r="G877" s="167" t="s">
        <v>226</v>
      </c>
    </row>
    <row r="878">
      <c r="A878" s="167" t="s">
        <v>1886</v>
      </c>
      <c r="B878" s="167" t="str">
        <f>IFERROR(__xludf.DUMMYFUNCTION("GOOGLEFINANCE(A878,""Name"")"),"#N/A")</f>
        <v>#N/A</v>
      </c>
      <c r="C878" s="167" t="s">
        <v>1887</v>
      </c>
      <c r="D878" s="167" t="s">
        <v>1884</v>
      </c>
      <c r="E878" s="167"/>
      <c r="F878" s="167"/>
      <c r="G878" s="167" t="s">
        <v>226</v>
      </c>
    </row>
    <row r="879">
      <c r="A879" s="167" t="s">
        <v>1888</v>
      </c>
      <c r="B879" s="167" t="str">
        <f>IFERROR(__xludf.DUMMYFUNCTION("GOOGLEFINANCE(A879,""Name"")"),"Devant FI Cad Prod Agroindustriais - Fiagro - Imob")</f>
        <v>Devant FI Cad Prod Agroindustriais - Fiagro - Imob</v>
      </c>
      <c r="C879" s="167" t="s">
        <v>1889</v>
      </c>
      <c r="D879" s="167" t="s">
        <v>1884</v>
      </c>
      <c r="E879" s="167"/>
      <c r="F879" s="167" t="s">
        <v>1867</v>
      </c>
      <c r="G879" s="167" t="s">
        <v>226</v>
      </c>
    </row>
    <row r="880">
      <c r="A880" s="167" t="s">
        <v>1890</v>
      </c>
      <c r="B880" s="167" t="str">
        <f>IFERROR(__xludf.DUMMYFUNCTION("GOOGLEFINANCE(A880,""Name"")"),"Ecoagro I FI Cadeias Prod Agroindust Fiagro Imobil")</f>
        <v>Ecoagro I FI Cadeias Prod Agroindust Fiagro Imobil</v>
      </c>
      <c r="C880" s="167" t="s">
        <v>1891</v>
      </c>
      <c r="D880" s="167" t="s">
        <v>1884</v>
      </c>
      <c r="E880" s="167"/>
      <c r="F880" s="167" t="s">
        <v>1860</v>
      </c>
      <c r="G880" s="167" t="s">
        <v>226</v>
      </c>
    </row>
    <row r="881">
      <c r="A881" s="167" t="s">
        <v>1892</v>
      </c>
      <c r="B881" s="167" t="str">
        <f>IFERROR(__xludf.DUMMYFUNCTION("GOOGLEFINANCE(A881,""Name"")"),"FI nas Cadeias Prod Ag Riza Agro FIAGRO Imob - Un")</f>
        <v>FI nas Cadeias Prod Ag Riza Agro FIAGRO Imob - Un</v>
      </c>
      <c r="C881" s="167" t="s">
        <v>1893</v>
      </c>
      <c r="D881" s="167" t="s">
        <v>1884</v>
      </c>
      <c r="E881" s="167"/>
      <c r="F881" s="167" t="s">
        <v>1894</v>
      </c>
      <c r="G881" s="167" t="s">
        <v>226</v>
      </c>
    </row>
    <row r="882">
      <c r="A882" s="167" t="s">
        <v>1895</v>
      </c>
      <c r="B882" s="167" t="str">
        <f>IFERROR(__xludf.DUMMYFUNCTION("GOOGLEFINANCE(A882,""Name"")"),"FI Cad Produt Agro JGP Credito FIAGRO Imobiliario")</f>
        <v>FI Cad Produt Agro JGP Credito FIAGRO Imobiliario</v>
      </c>
      <c r="C882" s="167" t="s">
        <v>1896</v>
      </c>
      <c r="D882" s="167" t="s">
        <v>1884</v>
      </c>
      <c r="E882" s="167"/>
      <c r="F882" s="167" t="s">
        <v>1867</v>
      </c>
      <c r="G882" s="167" t="s">
        <v>226</v>
      </c>
    </row>
    <row r="883">
      <c r="A883" s="167" t="s">
        <v>1897</v>
      </c>
      <c r="B883" s="167" t="str">
        <f>IFERROR(__xludf.DUMMYFUNCTION("GOOGLEFINANCE(A883,""Name"")"),"FG/Agro FI Cad Prod Agroindustr Fiagro Imobiliario")</f>
        <v>FG/Agro FI Cad Prod Agroindustr Fiagro Imobiliario</v>
      </c>
      <c r="C883" s="167" t="s">
        <v>1898</v>
      </c>
      <c r="D883" s="167" t="s">
        <v>1884</v>
      </c>
      <c r="E883" s="167"/>
      <c r="F883" s="167" t="s">
        <v>215</v>
      </c>
      <c r="G883" s="167" t="s">
        <v>226</v>
      </c>
    </row>
    <row r="884">
      <c r="A884" s="167" t="s">
        <v>1899</v>
      </c>
      <c r="B884" s="167" t="str">
        <f>IFERROR(__xludf.DUMMYFUNCTION("GOOGLEFINANCE(A884,""Name"")"),"Galapagos Recebiveis do Agr Fiagro Im Unica")</f>
        <v>Galapagos Recebiveis do Agr Fiagro Im Unica</v>
      </c>
      <c r="C884" s="167" t="s">
        <v>1900</v>
      </c>
      <c r="D884" s="167" t="s">
        <v>1884</v>
      </c>
      <c r="E884" s="167"/>
      <c r="F884" s="167" t="s">
        <v>1901</v>
      </c>
      <c r="G884" s="167" t="s">
        <v>226</v>
      </c>
    </row>
    <row r="885">
      <c r="A885" s="167" t="s">
        <v>1902</v>
      </c>
      <c r="B885" s="167" t="str">
        <f>IFERROR(__xludf.DUMMYFUNCTION("GOOGLEFINANCE(A885,""Name"")"),"Itau Asset Rural Fiagro Imobiliario")</f>
        <v>Itau Asset Rural Fiagro Imobiliario</v>
      </c>
      <c r="C885" s="167" t="s">
        <v>1903</v>
      </c>
      <c r="D885" s="167" t="s">
        <v>1884</v>
      </c>
      <c r="E885" s="167"/>
      <c r="F885" s="167" t="s">
        <v>1857</v>
      </c>
      <c r="G885" s="167" t="s">
        <v>226</v>
      </c>
    </row>
    <row r="886">
      <c r="A886" s="167" t="s">
        <v>1904</v>
      </c>
      <c r="B886" s="167" t="str">
        <f>IFERROR(__xludf.DUMMYFUNCTION("GOOGLEFINANCE(A886,""Name"")"),"Kinea Credito Agro FIAGRO-Imobiliario")</f>
        <v>Kinea Credito Agro FIAGRO-Imobiliario</v>
      </c>
      <c r="C886" s="167" t="s">
        <v>1905</v>
      </c>
      <c r="D886" s="167" t="s">
        <v>1884</v>
      </c>
      <c r="E886" s="167"/>
      <c r="F886" s="167" t="s">
        <v>1857</v>
      </c>
      <c r="G886" s="167" t="s">
        <v>226</v>
      </c>
    </row>
    <row r="887">
      <c r="A887" s="167" t="s">
        <v>1906</v>
      </c>
      <c r="B887" s="167" t="str">
        <f>IFERROR(__xludf.DUMMYFUNCTION("GOOGLEFINANCE(A887,""Name"")"),"Leste FI Cadeias Prod Agroin - Fiagro - Imo - Un")</f>
        <v>Leste FI Cadeias Prod Agroin - Fiagro - Imo - Un</v>
      </c>
      <c r="C887" s="167" t="s">
        <v>1907</v>
      </c>
      <c r="D887" s="167" t="s">
        <v>1884</v>
      </c>
      <c r="E887" s="167"/>
      <c r="F887" s="167" t="s">
        <v>1894</v>
      </c>
      <c r="G887" s="167" t="s">
        <v>226</v>
      </c>
    </row>
    <row r="888">
      <c r="A888" s="167" t="s">
        <v>1877</v>
      </c>
      <c r="B888" s="167" t="str">
        <f>IFERROR(__xludf.DUMMYFUNCTION("GOOGLEFINANCE(A888,""Name"")"),"#N/A")</f>
        <v>#N/A</v>
      </c>
      <c r="C888" s="167" t="s">
        <v>1878</v>
      </c>
      <c r="D888" s="167" t="s">
        <v>1884</v>
      </c>
      <c r="E888" s="167"/>
      <c r="F888" s="167" t="s">
        <v>1854</v>
      </c>
      <c r="G888" s="167" t="s">
        <v>226</v>
      </c>
    </row>
    <row r="889">
      <c r="A889" s="167" t="s">
        <v>1908</v>
      </c>
      <c r="B889" s="167" t="str">
        <f>IFERROR(__xludf.DUMMYFUNCTION("GOOGLEFINANCE(A889,""Name"")"),"Ourinvest Innovation Fiagro Imobiliario Unica")</f>
        <v>Ourinvest Innovation Fiagro Imobiliario Unica</v>
      </c>
      <c r="C889" s="167" t="s">
        <v>1909</v>
      </c>
      <c r="D889" s="167" t="s">
        <v>1884</v>
      </c>
      <c r="E889" s="167"/>
      <c r="F889" s="167" t="s">
        <v>1901</v>
      </c>
      <c r="G889" s="167" t="s">
        <v>226</v>
      </c>
    </row>
    <row r="890">
      <c r="A890" s="167" t="s">
        <v>1910</v>
      </c>
      <c r="B890" s="167" t="str">
        <f>IFERROR(__xludf.DUMMYFUNCTION("GOOGLEFINANCE(A890,""Name"")"),"Plural BRB Credito Agro - Fiagro - Imob - Unica")</f>
        <v>Plural BRB Credito Agro - Fiagro - Imob - Unica</v>
      </c>
      <c r="C890" s="167" t="s">
        <v>1911</v>
      </c>
      <c r="D890" s="167" t="s">
        <v>1884</v>
      </c>
      <c r="E890" s="167"/>
      <c r="F890" s="167" t="s">
        <v>1894</v>
      </c>
      <c r="G890" s="167" t="s">
        <v>226</v>
      </c>
    </row>
    <row r="891">
      <c r="A891" s="167" t="s">
        <v>1912</v>
      </c>
      <c r="B891" s="167" t="str">
        <f>IFERROR(__xludf.DUMMYFUNCTION("GOOGLEFINANCE(A891,""Name"")"),"#N/A")</f>
        <v>#N/A</v>
      </c>
      <c r="C891" s="167" t="s">
        <v>1913</v>
      </c>
      <c r="D891" s="167" t="s">
        <v>1884</v>
      </c>
      <c r="E891" s="167"/>
      <c r="F891" s="167"/>
      <c r="G891" s="167" t="s">
        <v>226</v>
      </c>
    </row>
    <row r="892">
      <c r="A892" s="167" t="s">
        <v>1914</v>
      </c>
      <c r="B892" s="167" t="str">
        <f>IFERROR(__xludf.DUMMYFUNCTION("GOOGLEFINANCE(A892,""Name"")"),"Valora Cra FI Cadeias Prod Agro FIAGRO Imobiliario")</f>
        <v>Valora Cra FI Cadeias Prod Agro FIAGRO Imobiliario</v>
      </c>
      <c r="C892" s="167" t="s">
        <v>1915</v>
      </c>
      <c r="D892" s="167" t="s">
        <v>1884</v>
      </c>
      <c r="E892" s="167"/>
      <c r="F892" s="167" t="s">
        <v>1854</v>
      </c>
      <c r="G892" s="167" t="s">
        <v>226</v>
      </c>
    </row>
    <row r="893">
      <c r="A893" s="167" t="s">
        <v>1916</v>
      </c>
      <c r="B893" s="167" t="str">
        <f>IFERROR(__xludf.DUMMYFUNCTION("GOOGLEFINANCE(A893,""Name"")"),"Vectis Datagro Credito Agronegocio FIAGRO Imob")</f>
        <v>Vectis Datagro Credito Agronegocio FIAGRO Imob</v>
      </c>
      <c r="C893" s="167" t="s">
        <v>1917</v>
      </c>
      <c r="D893" s="167" t="s">
        <v>1884</v>
      </c>
      <c r="E893" s="167"/>
      <c r="F893" s="167" t="s">
        <v>1857</v>
      </c>
      <c r="G893" s="167" t="s">
        <v>226</v>
      </c>
    </row>
    <row r="894">
      <c r="A894" s="167" t="s">
        <v>1918</v>
      </c>
      <c r="B894" s="167" t="str">
        <f>IFERROR(__xludf.DUMMYFUNCTION("GOOGLEFINANCE(A894,""Name"")"),"Xp Cred Agri FI Cadeias Pro Agrid Imob Fiagro-imo")</f>
        <v>Xp Cred Agri FI Cadeias Pro Agrid Imob Fiagro-imo</v>
      </c>
      <c r="C894" s="167" t="s">
        <v>1919</v>
      </c>
      <c r="D894" s="167" t="s">
        <v>1884</v>
      </c>
      <c r="E894" s="167"/>
      <c r="F894" s="167" t="s">
        <v>1920</v>
      </c>
      <c r="G894" s="167" t="s">
        <v>226</v>
      </c>
    </row>
    <row r="895">
      <c r="A895" s="167" t="s">
        <v>1921</v>
      </c>
      <c r="B895" s="167" t="str">
        <f>IFERROR(__xludf.DUMMYFUNCTION("GOOGLEFINANCE(A895,""Name"")"),"BTG CAF DC RL")</f>
        <v>BTG CAF DC RL</v>
      </c>
      <c r="C895" s="167" t="s">
        <v>1922</v>
      </c>
      <c r="D895" s="167" t="s">
        <v>1884</v>
      </c>
      <c r="E895" s="167"/>
      <c r="F895" s="167" t="s">
        <v>1854</v>
      </c>
      <c r="G895" s="167" t="s">
        <v>226</v>
      </c>
    </row>
    <row r="896">
      <c r="A896" s="167"/>
      <c r="B896" s="167"/>
      <c r="C896" s="167"/>
      <c r="D896" s="167"/>
      <c r="E896" s="167"/>
      <c r="F896" s="167"/>
      <c r="G896" s="167"/>
    </row>
    <row r="897">
      <c r="A897" s="167" t="s">
        <v>1923</v>
      </c>
      <c r="B897" s="167" t="str">
        <f>IFERROR(__xludf.DUMMYFUNCTION("GOOGLEFINANCE(A897,""Name"")"),"BB ETF Ibovespa FI")</f>
        <v>BB ETF Ibovespa FI</v>
      </c>
      <c r="C897" s="167" t="s">
        <v>1924</v>
      </c>
      <c r="D897" s="167"/>
      <c r="E897" s="167"/>
      <c r="F897" s="167" t="s">
        <v>1925</v>
      </c>
      <c r="G897" s="167" t="s">
        <v>1926</v>
      </c>
    </row>
    <row r="898">
      <c r="A898" s="167" t="s">
        <v>1927</v>
      </c>
      <c r="B898" s="167" t="str">
        <f>IFERROR(__xludf.DUMMYFUNCTION("GOOGLEFINANCE(A898,""Name"")"),"#N/A")</f>
        <v>#N/A</v>
      </c>
      <c r="C898" s="167" t="s">
        <v>1928</v>
      </c>
      <c r="D898" s="167" t="s">
        <v>54</v>
      </c>
      <c r="E898" s="167" t="s">
        <v>54</v>
      </c>
      <c r="F898" s="167" t="s">
        <v>1929</v>
      </c>
      <c r="G898" s="167" t="s">
        <v>1926</v>
      </c>
    </row>
    <row r="899">
      <c r="A899" s="167" t="s">
        <v>1930</v>
      </c>
      <c r="B899" s="167" t="str">
        <f>IFERROR(__xludf.DUMMYFUNCTION("GOOGLEFINANCE(A899,""Name"")"),"#N/A")</f>
        <v>#N/A</v>
      </c>
      <c r="C899" s="167" t="s">
        <v>1931</v>
      </c>
      <c r="D899" s="167"/>
      <c r="E899" s="167"/>
      <c r="F899" s="167" t="s">
        <v>1932</v>
      </c>
      <c r="G899" s="167" t="s">
        <v>1926</v>
      </c>
    </row>
    <row r="900">
      <c r="A900" s="167" t="s">
        <v>1933</v>
      </c>
      <c r="B900" s="167" t="str">
        <f>IFERROR(__xludf.DUMMYFUNCTION("GOOGLEFINANCE(A900,""Name"")"),"BTG Pactual ESG FI S&amp;P/B3 Brazil ESG")</f>
        <v>BTG Pactual ESG FI S&amp;P/B3 Brazil ESG</v>
      </c>
      <c r="C900" s="167" t="s">
        <v>1934</v>
      </c>
      <c r="D900" s="167" t="s">
        <v>54</v>
      </c>
      <c r="E900" s="167" t="s">
        <v>54</v>
      </c>
      <c r="F900" s="167" t="s">
        <v>1935</v>
      </c>
      <c r="G900" s="167" t="s">
        <v>1926</v>
      </c>
    </row>
    <row r="901">
      <c r="A901" s="167" t="s">
        <v>1936</v>
      </c>
      <c r="B901" s="167" t="str">
        <f>IFERROR(__xludf.DUMMYFUNCTION("GOOGLEFINANCE(A901,""Name"")"),"#N/A")</f>
        <v>#N/A</v>
      </c>
      <c r="C901" s="167" t="s">
        <v>1937</v>
      </c>
      <c r="D901" s="167"/>
      <c r="E901" s="167"/>
      <c r="F901" s="167" t="s">
        <v>1938</v>
      </c>
      <c r="G901" s="167" t="s">
        <v>1926</v>
      </c>
    </row>
    <row r="902">
      <c r="A902" s="167" t="s">
        <v>1939</v>
      </c>
      <c r="B902" s="167" t="str">
        <f>IFERROR(__xludf.DUMMYFUNCTION("GOOGLEFINANCE(A902,""Name"")"),"#N/A")</f>
        <v>#N/A</v>
      </c>
      <c r="C902" s="167" t="s">
        <v>1940</v>
      </c>
      <c r="D902" s="167"/>
      <c r="E902" s="167"/>
      <c r="F902" s="167" t="s">
        <v>1941</v>
      </c>
      <c r="G902" s="167" t="s">
        <v>1926</v>
      </c>
    </row>
    <row r="903">
      <c r="A903" s="167" t="s">
        <v>1942</v>
      </c>
      <c r="B903" s="167" t="str">
        <f>IFERROR(__xludf.DUMMYFUNCTION("GOOGLEFINANCE(A903,""Name"")"),"#N/A")</f>
        <v>#N/A</v>
      </c>
      <c r="C903" s="167" t="s">
        <v>1943</v>
      </c>
      <c r="D903" s="167"/>
      <c r="E903" s="167"/>
      <c r="F903" s="167" t="s">
        <v>1944</v>
      </c>
      <c r="G903" s="167" t="s">
        <v>1926</v>
      </c>
    </row>
    <row r="904">
      <c r="A904" s="167" t="s">
        <v>1945</v>
      </c>
      <c r="B904" s="167" t="str">
        <f>IFERROR(__xludf.DUMMYFUNCTION("GOOGLEFINANCE(A904,""Name"")"),"#N/A")</f>
        <v>#N/A</v>
      </c>
      <c r="C904" s="167" t="s">
        <v>1946</v>
      </c>
      <c r="D904" s="167"/>
      <c r="E904" s="167"/>
      <c r="F904" s="167" t="s">
        <v>1947</v>
      </c>
      <c r="G904" s="167" t="s">
        <v>1926</v>
      </c>
    </row>
    <row r="905">
      <c r="A905" s="167" t="s">
        <v>1948</v>
      </c>
      <c r="B905" s="167" t="str">
        <f>IFERROR(__xludf.DUMMYFUNCTION("GOOGLEFINANCE(A905,""Name"")"),"Caixa ETF Ibovespa Fundo de Indice")</f>
        <v>Caixa ETF Ibovespa Fundo de Indice</v>
      </c>
      <c r="C905" s="167" t="s">
        <v>1949</v>
      </c>
      <c r="D905" s="167" t="s">
        <v>54</v>
      </c>
      <c r="E905" s="167" t="s">
        <v>54</v>
      </c>
      <c r="F905" s="167" t="s">
        <v>1950</v>
      </c>
      <c r="G905" s="167" t="s">
        <v>1926</v>
      </c>
    </row>
    <row r="906">
      <c r="A906" s="167" t="s">
        <v>1951</v>
      </c>
      <c r="B906" s="167" t="str">
        <f>IFERROR(__xludf.DUMMYFUNCTION("GOOGLEFINANCE(A906,""Name"")"),"Fundo De Invest De Ind CDI ETF Bradesco Ibovespa")</f>
        <v>Fundo De Invest De Ind CDI ETF Bradesco Ibovespa</v>
      </c>
      <c r="C906" s="167" t="s">
        <v>1952</v>
      </c>
      <c r="D906" s="167" t="s">
        <v>54</v>
      </c>
      <c r="E906" s="167" t="s">
        <v>54</v>
      </c>
      <c r="F906" s="167" t="s">
        <v>1953</v>
      </c>
      <c r="G906" s="167" t="s">
        <v>1926</v>
      </c>
    </row>
    <row r="907">
      <c r="A907" s="167" t="s">
        <v>1954</v>
      </c>
      <c r="B907" s="167" t="str">
        <f>IFERROR(__xludf.DUMMYFUNCTION("GOOGLEFINANCE(A907,""Name"")"),"#N/A")</f>
        <v>#N/A</v>
      </c>
      <c r="C907" s="167" t="s">
        <v>1955</v>
      </c>
      <c r="D907" s="167"/>
      <c r="E907" s="167"/>
      <c r="F907" s="167" t="s">
        <v>1956</v>
      </c>
      <c r="G907" s="167" t="s">
        <v>1926</v>
      </c>
    </row>
    <row r="908">
      <c r="A908" s="167" t="s">
        <v>1957</v>
      </c>
      <c r="B908" s="167" t="str">
        <f>IFERROR(__xludf.DUMMYFUNCTION("GOOGLEFINANCE(A908,""Name"")"),"#N/A")</f>
        <v>#N/A</v>
      </c>
      <c r="C908" s="167" t="s">
        <v>1958</v>
      </c>
      <c r="D908" s="167"/>
      <c r="E908" s="167"/>
      <c r="F908" s="167" t="s">
        <v>1959</v>
      </c>
      <c r="G908" s="167" t="s">
        <v>1926</v>
      </c>
    </row>
    <row r="909">
      <c r="A909" s="167" t="s">
        <v>1960</v>
      </c>
      <c r="B909" s="167" t="str">
        <f>IFERROR(__xludf.DUMMYFUNCTION("GOOGLEFINANCE(A909,""Name"")"),"Hashdex Nasdaq Crypto Index Fundo de Indice")</f>
        <v>Hashdex Nasdaq Crypto Index Fundo de Indice</v>
      </c>
      <c r="C909" s="167" t="s">
        <v>1961</v>
      </c>
      <c r="D909" s="167" t="s">
        <v>54</v>
      </c>
      <c r="E909" s="167" t="s">
        <v>54</v>
      </c>
      <c r="F909" s="167" t="s">
        <v>1962</v>
      </c>
      <c r="G909" s="167" t="s">
        <v>1926</v>
      </c>
    </row>
    <row r="910">
      <c r="A910" s="167" t="s">
        <v>1963</v>
      </c>
      <c r="B910" s="167" t="str">
        <f>IFERROR(__xludf.DUMMYFUNCTION("GOOGLEFINANCE(A910,""Name"")"),"#N/A")</f>
        <v>#N/A</v>
      </c>
      <c r="C910" s="167" t="s">
        <v>1964</v>
      </c>
      <c r="D910" s="167"/>
      <c r="E910" s="167"/>
      <c r="F910" s="167" t="s">
        <v>1965</v>
      </c>
      <c r="G910" s="167" t="s">
        <v>1926</v>
      </c>
    </row>
    <row r="911">
      <c r="A911" s="167" t="s">
        <v>1966</v>
      </c>
      <c r="B911" s="167" t="str">
        <f>IFERROR(__xludf.DUMMYFUNCTION("GOOGLEFINANCE(A911,""Name"")"),"#N/A")</f>
        <v>#N/A</v>
      </c>
      <c r="C911" s="167" t="s">
        <v>1967</v>
      </c>
      <c r="D911" s="167"/>
      <c r="E911" s="167"/>
      <c r="F911" s="167" t="s">
        <v>1968</v>
      </c>
      <c r="G911" s="167" t="s">
        <v>1926</v>
      </c>
    </row>
    <row r="912">
      <c r="A912" s="167" t="s">
        <v>1969</v>
      </c>
      <c r="B912" s="167" t="str">
        <f>IFERROR(__xludf.DUMMYFUNCTION("GOOGLEFINANCE(A912,""Name"")"),"#N/A")</f>
        <v>#N/A</v>
      </c>
      <c r="C912" s="167" t="s">
        <v>1970</v>
      </c>
      <c r="D912" s="167"/>
      <c r="E912" s="167"/>
      <c r="F912" s="167" t="s">
        <v>1971</v>
      </c>
      <c r="G912" s="167" t="s">
        <v>1926</v>
      </c>
    </row>
    <row r="913">
      <c r="A913" s="167" t="s">
        <v>1972</v>
      </c>
      <c r="B913" s="167" t="str">
        <f>IFERROR(__xludf.DUMMYFUNCTION("GOOGLEFINANCE(A913,""Name"")"),"#N/A")</f>
        <v>#N/A</v>
      </c>
      <c r="C913" s="167" t="s">
        <v>1973</v>
      </c>
      <c r="D913" s="167"/>
      <c r="E913" s="167"/>
      <c r="F913" s="167" t="s">
        <v>1974</v>
      </c>
      <c r="G913" s="167" t="s">
        <v>1926</v>
      </c>
    </row>
    <row r="914">
      <c r="A914" s="167" t="s">
        <v>1975</v>
      </c>
      <c r="B914" s="167" t="str">
        <f>IFERROR(__xludf.DUMMYFUNCTION("GOOGLEFINANCE(A914,""Name"")"),"#N/A")</f>
        <v>#N/A</v>
      </c>
      <c r="C914" s="167" t="s">
        <v>1976</v>
      </c>
      <c r="D914" s="167"/>
      <c r="E914" s="167"/>
      <c r="F914" s="167" t="s">
        <v>1977</v>
      </c>
      <c r="G914" s="167" t="s">
        <v>1926</v>
      </c>
    </row>
    <row r="915">
      <c r="A915" s="167" t="s">
        <v>1978</v>
      </c>
      <c r="B915" s="167" t="str">
        <f>IFERROR(__xludf.DUMMYFUNCTION("GOOGLEFINANCE(A915,""Name"")"),"#N/A")</f>
        <v>#N/A</v>
      </c>
      <c r="C915" s="167" t="s">
        <v>1979</v>
      </c>
      <c r="D915" s="167"/>
      <c r="E915" s="167"/>
      <c r="F915" s="167" t="s">
        <v>1980</v>
      </c>
      <c r="G915" s="167" t="s">
        <v>1926</v>
      </c>
    </row>
    <row r="916">
      <c r="A916" s="167" t="s">
        <v>1981</v>
      </c>
      <c r="B916" s="167" t="str">
        <f>IFERROR(__xludf.DUMMYFUNCTION("GOOGLEFINANCE(A916,""Name"")"),"#N/A")</f>
        <v>#N/A</v>
      </c>
      <c r="C916" s="167" t="s">
        <v>1982</v>
      </c>
      <c r="D916" s="167"/>
      <c r="E916" s="167"/>
      <c r="F916" s="167" t="s">
        <v>1983</v>
      </c>
      <c r="G916" s="167" t="s">
        <v>1926</v>
      </c>
    </row>
    <row r="917">
      <c r="A917" s="167" t="s">
        <v>1984</v>
      </c>
      <c r="B917" s="167" t="str">
        <f>IFERROR(__xludf.DUMMYFUNCTION("GOOGLEFINANCE(A917,""Name"")"),"#N/A")</f>
        <v>#N/A</v>
      </c>
      <c r="C917" s="167" t="s">
        <v>1985</v>
      </c>
      <c r="D917" s="167"/>
      <c r="E917" s="167"/>
      <c r="F917" s="167" t="s">
        <v>1986</v>
      </c>
      <c r="G917" s="167" t="s">
        <v>1926</v>
      </c>
    </row>
    <row r="918">
      <c r="A918" s="167" t="s">
        <v>1987</v>
      </c>
      <c r="B918" s="167" t="str">
        <f>IFERROR(__xludf.DUMMYFUNCTION("GOOGLEFINANCE(A918,""Name"")"),"iShares BM&amp;FBovespa Small Cap Fundo de Indice")</f>
        <v>iShares BM&amp;FBovespa Small Cap Fundo de Indice</v>
      </c>
      <c r="C918" s="167" t="s">
        <v>1988</v>
      </c>
      <c r="D918" s="167" t="s">
        <v>54</v>
      </c>
      <c r="E918" s="167" t="s">
        <v>54</v>
      </c>
      <c r="F918" s="167" t="s">
        <v>1989</v>
      </c>
      <c r="G918" s="167" t="s">
        <v>1926</v>
      </c>
    </row>
    <row r="919">
      <c r="A919" s="167" t="s">
        <v>1990</v>
      </c>
      <c r="B919" s="167" t="str">
        <f>IFERROR(__xludf.DUMMYFUNCTION("GOOGLEFINANCE(A919,""Name"")"),"Ishares Ibovespa Fundo de Indice")</f>
        <v>Ishares Ibovespa Fundo de Indice</v>
      </c>
      <c r="C919" s="167" t="s">
        <v>1991</v>
      </c>
      <c r="D919" s="167" t="s">
        <v>54</v>
      </c>
      <c r="E919" s="167" t="s">
        <v>54</v>
      </c>
      <c r="F919" s="167" t="s">
        <v>1992</v>
      </c>
      <c r="G919" s="167" t="s">
        <v>1926</v>
      </c>
    </row>
    <row r="920">
      <c r="A920" s="167" t="s">
        <v>1993</v>
      </c>
      <c r="B920" s="167" t="str">
        <f>IFERROR(__xludf.DUMMYFUNCTION("GOOGLEFINANCE(A920,""Name"")"),"iShares IBrX Indice Brasil (IBrX-100) Fundo Indice")</f>
        <v>iShares IBrX Indice Brasil (IBrX-100) Fundo Indice</v>
      </c>
      <c r="C920" s="167" t="s">
        <v>1994</v>
      </c>
      <c r="D920" s="167" t="s">
        <v>54</v>
      </c>
      <c r="E920" s="167" t="s">
        <v>54</v>
      </c>
      <c r="F920" s="167" t="s">
        <v>1995</v>
      </c>
      <c r="G920" s="167" t="s">
        <v>1926</v>
      </c>
    </row>
    <row r="921">
      <c r="A921" s="167" t="s">
        <v>1996</v>
      </c>
      <c r="B921" s="167" t="str">
        <f>IFERROR(__xludf.DUMMYFUNCTION("GOOGLEFINANCE(A921,""Name"")"),"#N/A")</f>
        <v>#N/A</v>
      </c>
      <c r="C921" s="167" t="s">
        <v>1997</v>
      </c>
      <c r="D921" s="167" t="s">
        <v>54</v>
      </c>
      <c r="E921" s="167" t="s">
        <v>54</v>
      </c>
      <c r="F921" s="167" t="s">
        <v>1998</v>
      </c>
      <c r="G921" s="167" t="s">
        <v>1926</v>
      </c>
    </row>
    <row r="922">
      <c r="A922" s="167" t="s">
        <v>1999</v>
      </c>
      <c r="B922" s="167" t="str">
        <f>IFERROR(__xludf.DUMMYFUNCTION("GOOGLEFINANCE(A922,""Name"")"),"iShares S&amp;P 500 FIC de Fundo de Indice IE")</f>
        <v>iShares S&amp;P 500 FIC de Fundo de Indice IE</v>
      </c>
      <c r="C922" s="167" t="s">
        <v>2000</v>
      </c>
      <c r="D922" s="167" t="s">
        <v>54</v>
      </c>
      <c r="E922" s="167" t="s">
        <v>54</v>
      </c>
      <c r="F922" s="167" t="s">
        <v>2001</v>
      </c>
      <c r="G922" s="167" t="s">
        <v>1926</v>
      </c>
    </row>
    <row r="923">
      <c r="A923" s="167" t="s">
        <v>2002</v>
      </c>
      <c r="B923" s="167" t="str">
        <f>IFERROR(__xludf.DUMMYFUNCTION("GOOGLEFINANCE(A923,""Name"")"),"It Now IBOVESPA Fundo de Indice")</f>
        <v>It Now IBOVESPA Fundo de Indice</v>
      </c>
      <c r="C923" s="167" t="s">
        <v>2003</v>
      </c>
      <c r="D923" s="167" t="s">
        <v>54</v>
      </c>
      <c r="E923" s="167" t="s">
        <v>54</v>
      </c>
      <c r="F923" s="167" t="s">
        <v>2004</v>
      </c>
      <c r="G923" s="167" t="s">
        <v>1926</v>
      </c>
    </row>
    <row r="924">
      <c r="A924" s="167" t="s">
        <v>2005</v>
      </c>
      <c r="B924" s="167" t="str">
        <f>IFERROR(__xludf.DUMMYFUNCTION("GOOGLEFINANCE(A924,""Name"")"),"IT Now IDIV Fundo de Indice")</f>
        <v>IT Now IDIV Fundo de Indice</v>
      </c>
      <c r="C924" s="167" t="s">
        <v>2006</v>
      </c>
      <c r="D924" s="167" t="s">
        <v>54</v>
      </c>
      <c r="E924" s="167" t="s">
        <v>54</v>
      </c>
      <c r="F924" s="167" t="s">
        <v>2007</v>
      </c>
      <c r="G924" s="167" t="s">
        <v>1926</v>
      </c>
    </row>
    <row r="925">
      <c r="A925" s="167" t="s">
        <v>2008</v>
      </c>
      <c r="B925" s="167" t="str">
        <f>IFERROR(__xludf.DUMMYFUNCTION("GOOGLEFINANCE(A925,""Name"")"),"#N/A")</f>
        <v>#N/A</v>
      </c>
      <c r="C925" s="167" t="s">
        <v>2009</v>
      </c>
      <c r="D925" s="167" t="s">
        <v>54</v>
      </c>
      <c r="E925" s="167" t="s">
        <v>54</v>
      </c>
      <c r="F925" s="167" t="s">
        <v>2010</v>
      </c>
      <c r="G925" s="167" t="s">
        <v>1926</v>
      </c>
    </row>
    <row r="926">
      <c r="A926" s="167" t="s">
        <v>2011</v>
      </c>
      <c r="B926" s="167" t="str">
        <f>IFERROR(__xludf.DUMMYFUNCTION("GOOGLEFINANCE(A926,""Name"")"),"#N/A")</f>
        <v>#N/A</v>
      </c>
      <c r="C926" s="167" t="s">
        <v>2012</v>
      </c>
      <c r="D926" s="167" t="s">
        <v>54</v>
      </c>
      <c r="E926" s="167" t="s">
        <v>54</v>
      </c>
      <c r="F926" s="167" t="s">
        <v>2013</v>
      </c>
      <c r="G926" s="167" t="s">
        <v>1926</v>
      </c>
    </row>
    <row r="927">
      <c r="A927" s="167" t="s">
        <v>2014</v>
      </c>
      <c r="B927" s="167" t="str">
        <f>IFERROR(__xludf.DUMMYFUNCTION("GOOGLEFINANCE(A927,""Name"")"),"#N/A")</f>
        <v>#N/A</v>
      </c>
      <c r="C927" s="167" t="s">
        <v>2015</v>
      </c>
      <c r="D927" s="167" t="s">
        <v>54</v>
      </c>
      <c r="E927" s="167" t="s">
        <v>54</v>
      </c>
      <c r="F927" s="167" t="s">
        <v>2016</v>
      </c>
      <c r="G927" s="167" t="s">
        <v>1926</v>
      </c>
    </row>
    <row r="928">
      <c r="A928" s="167" t="s">
        <v>2017</v>
      </c>
      <c r="B928" s="167" t="str">
        <f>IFERROR(__xludf.DUMMYFUNCTION("GOOGLEFINANCE(A928,""Name"")"),"#N/A")</f>
        <v>#N/A</v>
      </c>
      <c r="C928" s="167" t="s">
        <v>2018</v>
      </c>
      <c r="D928" s="167" t="s">
        <v>54</v>
      </c>
      <c r="E928" s="167" t="s">
        <v>54</v>
      </c>
      <c r="F928" s="167" t="s">
        <v>2019</v>
      </c>
      <c r="G928" s="167" t="s">
        <v>1926</v>
      </c>
    </row>
    <row r="929">
      <c r="A929" s="167" t="s">
        <v>2020</v>
      </c>
      <c r="B929" s="167" t="str">
        <f>IFERROR(__xludf.DUMMYFUNCTION("GOOGLEFINANCE(A929,""Name"")"),"#N/A")</f>
        <v>#N/A</v>
      </c>
      <c r="C929" s="167" t="s">
        <v>2021</v>
      </c>
      <c r="D929" s="167"/>
      <c r="E929" s="167"/>
      <c r="F929" s="167" t="s">
        <v>2022</v>
      </c>
      <c r="G929" s="167" t="s">
        <v>1926</v>
      </c>
    </row>
    <row r="930">
      <c r="A930" s="167" t="s">
        <v>2023</v>
      </c>
      <c r="B930" s="167" t="str">
        <f>IFERROR(__xludf.DUMMYFUNCTION("GOOGLEFINANCE(A930,""Name"")"),"#N/A")</f>
        <v>#N/A</v>
      </c>
      <c r="C930" s="167" t="s">
        <v>2024</v>
      </c>
      <c r="D930" s="167"/>
      <c r="E930" s="167"/>
      <c r="F930" s="167" t="s">
        <v>2025</v>
      </c>
      <c r="G930" s="167" t="s">
        <v>1926</v>
      </c>
    </row>
    <row r="931">
      <c r="A931" s="167" t="s">
        <v>2026</v>
      </c>
      <c r="B931" s="167" t="str">
        <f>IFERROR(__xludf.DUMMYFUNCTION("GOOGLEFINANCE(A931,""Name"")"),"It Now Morningstar US Digital Lifestyle Fundo Indice")</f>
        <v>It Now Morningstar US Digital Lifestyle Fundo Indice</v>
      </c>
      <c r="C931" s="167" t="s">
        <v>2027</v>
      </c>
      <c r="D931" s="167"/>
      <c r="E931" s="167"/>
      <c r="F931" s="167" t="s">
        <v>2028</v>
      </c>
      <c r="G931" s="167" t="s">
        <v>1926</v>
      </c>
    </row>
    <row r="932">
      <c r="A932" s="167" t="s">
        <v>2029</v>
      </c>
      <c r="B932" s="167" t="str">
        <f>IFERROR(__xludf.DUMMYFUNCTION("GOOGLEFINANCE(A932,""Name"")"),"IT Now NYSE Fang + Fundo De Indice")</f>
        <v>IT Now NYSE Fang + Fundo De Indice</v>
      </c>
      <c r="C932" s="167" t="s">
        <v>2030</v>
      </c>
      <c r="D932" s="167"/>
      <c r="E932" s="167"/>
      <c r="F932" s="167" t="s">
        <v>2031</v>
      </c>
      <c r="G932" s="167" t="s">
        <v>1926</v>
      </c>
    </row>
    <row r="933">
      <c r="A933" s="167" t="s">
        <v>2032</v>
      </c>
      <c r="B933" s="167" t="str">
        <f>IFERROR(__xludf.DUMMYFUNCTION("GOOGLEFINANCE(A933,""Name"")"),"It Now Pibb Ibrx-50 - Fundo de Indice")</f>
        <v>It Now Pibb Ibrx-50 - Fundo de Indice</v>
      </c>
      <c r="C933" s="167" t="s">
        <v>2033</v>
      </c>
      <c r="D933" s="167" t="s">
        <v>54</v>
      </c>
      <c r="E933" s="167" t="s">
        <v>54</v>
      </c>
      <c r="F933" s="167" t="s">
        <v>2034</v>
      </c>
      <c r="G933" s="167" t="s">
        <v>1926</v>
      </c>
    </row>
    <row r="934">
      <c r="A934" s="167" t="s">
        <v>2035</v>
      </c>
      <c r="B934" s="167" t="str">
        <f>IFERROR(__xludf.DUMMYFUNCTION("GOOGLEFINANCE(A934,""Name"")"),"#N/A")</f>
        <v>#N/A</v>
      </c>
      <c r="C934" s="167" t="s">
        <v>2036</v>
      </c>
      <c r="D934" s="167"/>
      <c r="E934" s="167"/>
      <c r="F934" s="167" t="s">
        <v>2037</v>
      </c>
      <c r="G934" s="167" t="s">
        <v>1926</v>
      </c>
    </row>
    <row r="935">
      <c r="A935" s="167" t="s">
        <v>2038</v>
      </c>
      <c r="B935" s="167" t="str">
        <f>IFERROR(__xludf.DUMMYFUNCTION("GOOGLEFINANCE(A935,""Name"")"),"#N/A")</f>
        <v>#N/A</v>
      </c>
      <c r="C935" s="167" t="s">
        <v>2039</v>
      </c>
      <c r="D935" s="167"/>
      <c r="E935" s="167"/>
      <c r="F935" s="167" t="s">
        <v>2040</v>
      </c>
      <c r="G935" s="167" t="s">
        <v>1926</v>
      </c>
    </row>
    <row r="936">
      <c r="A936" s="167" t="s">
        <v>2041</v>
      </c>
      <c r="B936" s="167" t="str">
        <f>IFERROR(__xludf.DUMMYFUNCTION("GOOGLEFINANCE(A936,""Name"")"),"#N/A")</f>
        <v>#N/A</v>
      </c>
      <c r="C936" s="167" t="s">
        <v>2042</v>
      </c>
      <c r="D936" s="167"/>
      <c r="E936" s="167"/>
      <c r="F936" s="167" t="s">
        <v>2043</v>
      </c>
      <c r="G936" s="167" t="s">
        <v>1926</v>
      </c>
    </row>
    <row r="937">
      <c r="A937" s="167" t="s">
        <v>2044</v>
      </c>
      <c r="B937" s="167" t="str">
        <f>IFERROR(__xludf.DUMMYFUNCTION("GOOGLEFINANCE(A937,""Name"")"),"IT Now S&amp;P500 TRN Fundo de Indice")</f>
        <v>IT Now S&amp;P500 TRN Fundo de Indice</v>
      </c>
      <c r="C937" s="167" t="s">
        <v>2045</v>
      </c>
      <c r="D937" s="167" t="s">
        <v>54</v>
      </c>
      <c r="E937" s="167" t="s">
        <v>54</v>
      </c>
      <c r="F937" s="167" t="s">
        <v>2046</v>
      </c>
      <c r="G937" s="167" t="s">
        <v>1926</v>
      </c>
    </row>
    <row r="938">
      <c r="A938" s="167" t="s">
        <v>2047</v>
      </c>
      <c r="B938" s="167" t="str">
        <f>IFERROR(__xludf.DUMMYFUNCTION("GOOGLEFINANCE(A938,""Name"")"),"#N/A")</f>
        <v>#N/A</v>
      </c>
      <c r="C938" s="167" t="s">
        <v>2048</v>
      </c>
      <c r="D938" s="167" t="s">
        <v>54</v>
      </c>
      <c r="E938" s="167" t="s">
        <v>54</v>
      </c>
      <c r="F938" s="167" t="s">
        <v>2049</v>
      </c>
      <c r="G938" s="167" t="s">
        <v>1926</v>
      </c>
    </row>
    <row r="939">
      <c r="A939" s="167" t="s">
        <v>2050</v>
      </c>
      <c r="B939" s="167" t="str">
        <f>IFERROR(__xludf.DUMMYFUNCTION("GOOGLEFINANCE(A939,""Name"")"),"#N/A")</f>
        <v>#N/A</v>
      </c>
      <c r="C939" s="167" t="s">
        <v>2051</v>
      </c>
      <c r="D939" s="167"/>
      <c r="E939" s="167"/>
      <c r="F939" s="167" t="s">
        <v>2052</v>
      </c>
      <c r="G939" s="167" t="s">
        <v>1926</v>
      </c>
    </row>
    <row r="940">
      <c r="A940" s="167" t="s">
        <v>2053</v>
      </c>
      <c r="B940" s="167" t="str">
        <f>IFERROR(__xludf.DUMMYFUNCTION("GOOGLEFINANCE(A940,""Name"")"),"QR CME CF Ether Reference Rate FDI")</f>
        <v>QR CME CF Ether Reference Rate FDI</v>
      </c>
      <c r="C940" s="167" t="s">
        <v>2054</v>
      </c>
      <c r="D940" s="167"/>
      <c r="E940" s="167"/>
      <c r="F940" s="167" t="s">
        <v>2055</v>
      </c>
      <c r="G940" s="167" t="s">
        <v>1926</v>
      </c>
    </row>
    <row r="941">
      <c r="A941" s="167" t="s">
        <v>2056</v>
      </c>
      <c r="B941" s="167" t="str">
        <f>IFERROR(__xludf.DUMMYFUNCTION("GOOGLEFINANCE(A941,""Name"")"),"#N/A")</f>
        <v>#N/A</v>
      </c>
      <c r="C941" s="167" t="s">
        <v>2057</v>
      </c>
      <c r="D941" s="167"/>
      <c r="E941" s="167"/>
      <c r="F941" s="167" t="s">
        <v>2058</v>
      </c>
      <c r="G941" s="167" t="s">
        <v>1926</v>
      </c>
    </row>
    <row r="942">
      <c r="A942" s="167" t="s">
        <v>2059</v>
      </c>
      <c r="B942" s="167" t="str">
        <f>IFERROR(__xludf.DUMMYFUNCTION("GOOGLEFINANCE(A942,""Name"")"),"#N/A")</f>
        <v>#N/A</v>
      </c>
      <c r="C942" s="167" t="s">
        <v>2060</v>
      </c>
      <c r="D942" s="167"/>
      <c r="E942" s="167"/>
      <c r="F942" s="167" t="s">
        <v>2061</v>
      </c>
      <c r="G942" s="167" t="s">
        <v>1926</v>
      </c>
    </row>
    <row r="943">
      <c r="A943" s="167" t="s">
        <v>2062</v>
      </c>
      <c r="B943" s="167" t="str">
        <f>IFERROR(__xludf.DUMMYFUNCTION("GOOGLEFINANCE(A943,""Name"")"),"Trend ETF IFIX-L Fundo de Indice")</f>
        <v>Trend ETF IFIX-L Fundo de Indice</v>
      </c>
      <c r="C943" s="167" t="s">
        <v>2063</v>
      </c>
      <c r="D943" s="167" t="s">
        <v>54</v>
      </c>
      <c r="E943" s="167" t="s">
        <v>54</v>
      </c>
      <c r="F943" s="167" t="s">
        <v>2064</v>
      </c>
      <c r="G943" s="167" t="s">
        <v>1926</v>
      </c>
    </row>
    <row r="944">
      <c r="A944" s="167" t="s">
        <v>2065</v>
      </c>
      <c r="B944" s="167" t="str">
        <f>IFERROR(__xludf.DUMMYFUNCTION("GOOGLEFINANCE(A944,""Name"")"),"Trend ETF LBMA Ouro FI de Indice Invest no Ext")</f>
        <v>Trend ETF LBMA Ouro FI de Indice Invest no Ext</v>
      </c>
      <c r="C944" s="167" t="s">
        <v>2066</v>
      </c>
      <c r="D944" s="167" t="s">
        <v>54</v>
      </c>
      <c r="E944" s="167" t="s">
        <v>54</v>
      </c>
      <c r="F944" s="167" t="s">
        <v>2067</v>
      </c>
      <c r="G944" s="167" t="s">
        <v>1926</v>
      </c>
    </row>
    <row r="945">
      <c r="A945" s="167" t="s">
        <v>2068</v>
      </c>
      <c r="B945" s="167" t="str">
        <f>IFERROR(__xludf.DUMMYFUNCTION("GOOGLEFINANCE(A945,""Name"")"),"Trend ETF MSCI ACWI FI de Indice IE")</f>
        <v>Trend ETF MSCI ACWI FI de Indice IE</v>
      </c>
      <c r="C945" s="167" t="s">
        <v>2069</v>
      </c>
      <c r="D945" s="167" t="s">
        <v>54</v>
      </c>
      <c r="E945" s="167" t="s">
        <v>54</v>
      </c>
      <c r="F945" s="167" t="s">
        <v>2070</v>
      </c>
      <c r="G945" s="167" t="s">
        <v>1926</v>
      </c>
    </row>
    <row r="946">
      <c r="A946" s="167" t="s">
        <v>2071</v>
      </c>
      <c r="B946" s="167" t="str">
        <f>IFERROR(__xludf.DUMMYFUNCTION("GOOGLEFINANCE(A946,""Name"")"),"#N/A")</f>
        <v>#N/A</v>
      </c>
      <c r="C946" s="167" t="s">
        <v>2072</v>
      </c>
      <c r="D946" s="167"/>
      <c r="E946" s="167"/>
      <c r="F946" s="167" t="s">
        <v>2073</v>
      </c>
      <c r="G946" s="167" t="s">
        <v>1926</v>
      </c>
    </row>
    <row r="947">
      <c r="A947" s="167" t="s">
        <v>2074</v>
      </c>
      <c r="B947" s="167" t="str">
        <f>IFERROR(__xludf.DUMMYFUNCTION("GOOGLEFINANCE(A947,""Name"")"),"#N/A")</f>
        <v>#N/A</v>
      </c>
      <c r="C947" s="167" t="s">
        <v>2075</v>
      </c>
      <c r="D947" s="167" t="s">
        <v>54</v>
      </c>
      <c r="E947" s="167" t="s">
        <v>54</v>
      </c>
      <c r="F947" s="167" t="s">
        <v>2076</v>
      </c>
      <c r="G947" s="167" t="s">
        <v>1926</v>
      </c>
    </row>
    <row r="948">
      <c r="A948" s="167" t="s">
        <v>2077</v>
      </c>
      <c r="B948" s="167" t="str">
        <f>IFERROR(__xludf.DUMMYFUNCTION("GOOGLEFINANCE(A948,""Name"")"),"#N/A")</f>
        <v>#N/A</v>
      </c>
      <c r="C948" s="167" t="s">
        <v>2078</v>
      </c>
      <c r="D948" s="167"/>
      <c r="E948" s="167"/>
      <c r="F948" s="167" t="s">
        <v>2079</v>
      </c>
      <c r="G948" s="167" t="s">
        <v>1926</v>
      </c>
    </row>
    <row r="949">
      <c r="A949" s="167" t="s">
        <v>2080</v>
      </c>
      <c r="B949" s="167" t="str">
        <f>IFERROR(__xludf.DUMMYFUNCTION("GOOGLEFINANCE(A949,""Name"")"),"#N/A")</f>
        <v>#N/A</v>
      </c>
      <c r="C949" s="167" t="s">
        <v>2081</v>
      </c>
      <c r="D949" s="167"/>
      <c r="E949" s="167"/>
      <c r="F949" s="167" t="s">
        <v>2082</v>
      </c>
      <c r="G949" s="167" t="s">
        <v>1926</v>
      </c>
    </row>
    <row r="950">
      <c r="A950" s="167" t="s">
        <v>2083</v>
      </c>
      <c r="B950" s="167" t="str">
        <f>IFERROR(__xludf.DUMMYFUNCTION("GOOGLEFINANCE(A950,""Name"")"),"#N/A")</f>
        <v>#N/A</v>
      </c>
      <c r="C950" s="167" t="s">
        <v>2084</v>
      </c>
      <c r="D950" s="167" t="s">
        <v>54</v>
      </c>
      <c r="E950" s="167" t="s">
        <v>54</v>
      </c>
      <c r="F950" s="167" t="s">
        <v>2085</v>
      </c>
      <c r="G950" s="167" t="s">
        <v>1926</v>
      </c>
    </row>
    <row r="951">
      <c r="A951" s="167" t="s">
        <v>2086</v>
      </c>
      <c r="B951" s="167" t="str">
        <f>IFERROR(__xludf.DUMMYFUNCTION("GOOGLEFINANCE(A951,""Name"")"),"#N/A")</f>
        <v>#N/A</v>
      </c>
      <c r="C951" s="167" t="s">
        <v>2087</v>
      </c>
      <c r="D951" s="167"/>
      <c r="E951" s="167"/>
      <c r="F951" s="167" t="s">
        <v>2088</v>
      </c>
      <c r="G951" s="167" t="s">
        <v>1926</v>
      </c>
    </row>
    <row r="952">
      <c r="A952" s="167" t="s">
        <v>2089</v>
      </c>
      <c r="B952" s="167" t="str">
        <f>IFERROR(__xludf.DUMMYFUNCTION("GOOGLEFINANCE(A952,""Name"")"),"#N/A")</f>
        <v>#N/A</v>
      </c>
      <c r="C952" s="167" t="s">
        <v>2090</v>
      </c>
      <c r="D952" s="167"/>
      <c r="E952" s="167"/>
      <c r="F952" s="167" t="s">
        <v>2091</v>
      </c>
      <c r="G952" s="167" t="s">
        <v>1926</v>
      </c>
    </row>
    <row r="953">
      <c r="A953" s="167" t="s">
        <v>2092</v>
      </c>
      <c r="B953" s="167" t="str">
        <f>IFERROR(__xludf.DUMMYFUNCTION("GOOGLEFINANCE(A953,""Name"")"),"Trend ETF Nasdaq 100 Fdo Inv Indice Inv Ext")</f>
        <v>Trend ETF Nasdaq 100 Fdo Inv Indice Inv Ext</v>
      </c>
      <c r="C953" s="167" t="s">
        <v>2093</v>
      </c>
      <c r="D953" s="167"/>
      <c r="E953" s="167"/>
      <c r="F953" s="167" t="s">
        <v>2094</v>
      </c>
      <c r="G953" s="167" t="s">
        <v>1926</v>
      </c>
    </row>
    <row r="954">
      <c r="A954" s="167" t="s">
        <v>2095</v>
      </c>
      <c r="B954" s="167" t="str">
        <f>IFERROR(__xludf.DUMMYFUNCTION("GOOGLEFINANCE(A954,""Name"")"),"#N/A")</f>
        <v>#N/A</v>
      </c>
      <c r="C954" s="167" t="s">
        <v>2096</v>
      </c>
      <c r="D954" s="167"/>
      <c r="E954" s="167"/>
      <c r="F954" s="167" t="s">
        <v>2097</v>
      </c>
      <c r="G954" s="167" t="s">
        <v>1926</v>
      </c>
    </row>
    <row r="955">
      <c r="A955" s="170"/>
      <c r="B955" s="170"/>
      <c r="C955" s="170"/>
      <c r="D955" s="170"/>
      <c r="E955" s="170"/>
      <c r="F955" s="170"/>
      <c r="G955" s="170"/>
    </row>
    <row r="956">
      <c r="A956" s="167"/>
      <c r="B956" s="167"/>
      <c r="C956" s="167"/>
      <c r="D956" s="167"/>
      <c r="E956" s="167"/>
      <c r="F956" s="167"/>
      <c r="G956" s="167"/>
    </row>
    <row r="957">
      <c r="A957" s="166" t="s">
        <v>93</v>
      </c>
      <c r="B957" s="167" t="s">
        <v>2098</v>
      </c>
      <c r="C957" s="167"/>
      <c r="D957" s="167"/>
      <c r="E957" s="167"/>
      <c r="F957" s="166" t="s">
        <v>53</v>
      </c>
      <c r="G957" s="167" t="s">
        <v>52</v>
      </c>
    </row>
    <row r="958">
      <c r="A958" s="166" t="s">
        <v>96</v>
      </c>
      <c r="B958" s="167" t="s">
        <v>2099</v>
      </c>
      <c r="C958" s="167"/>
      <c r="D958" s="167"/>
      <c r="E958" s="167"/>
      <c r="F958" s="166" t="s">
        <v>53</v>
      </c>
      <c r="G958" s="167" t="s">
        <v>52</v>
      </c>
    </row>
    <row r="959">
      <c r="A959" s="166" t="s">
        <v>2100</v>
      </c>
      <c r="B959" s="167" t="s">
        <v>2101</v>
      </c>
      <c r="C959" s="167"/>
      <c r="D959" s="167"/>
      <c r="E959" s="167"/>
      <c r="F959" s="166" t="s">
        <v>53</v>
      </c>
      <c r="G959" s="167" t="s">
        <v>52</v>
      </c>
    </row>
    <row r="960">
      <c r="A960" s="167"/>
      <c r="B960" s="167"/>
      <c r="C960" s="167"/>
      <c r="D960" s="167"/>
      <c r="E960" s="167"/>
      <c r="F960" s="167"/>
      <c r="G960" s="167"/>
    </row>
    <row r="961">
      <c r="A961" s="166" t="s">
        <v>2102</v>
      </c>
      <c r="B961" s="166" t="s">
        <v>2103</v>
      </c>
      <c r="C961" s="167"/>
      <c r="D961" s="167"/>
      <c r="E961" s="167"/>
      <c r="F961" s="166" t="s">
        <v>62</v>
      </c>
      <c r="G961" s="166" t="s">
        <v>18</v>
      </c>
    </row>
    <row r="962">
      <c r="A962" s="166" t="s">
        <v>2104</v>
      </c>
      <c r="B962" s="166" t="s">
        <v>2105</v>
      </c>
      <c r="C962" s="167"/>
      <c r="D962" s="167"/>
      <c r="E962" s="167"/>
      <c r="F962" s="166" t="s">
        <v>62</v>
      </c>
      <c r="G962" s="166" t="s">
        <v>18</v>
      </c>
    </row>
    <row r="963">
      <c r="A963" s="166" t="s">
        <v>2106</v>
      </c>
      <c r="B963" s="166" t="s">
        <v>2107</v>
      </c>
      <c r="C963" s="167"/>
      <c r="D963" s="167"/>
      <c r="E963" s="167"/>
      <c r="F963" s="166" t="s">
        <v>62</v>
      </c>
      <c r="G963" s="166" t="s">
        <v>18</v>
      </c>
    </row>
    <row r="964">
      <c r="A964" s="166" t="s">
        <v>108</v>
      </c>
      <c r="B964" s="166" t="s">
        <v>2108</v>
      </c>
      <c r="C964" s="167"/>
      <c r="D964" s="167"/>
      <c r="E964" s="167"/>
      <c r="F964" s="166" t="s">
        <v>62</v>
      </c>
      <c r="G964" s="166" t="s">
        <v>18</v>
      </c>
    </row>
    <row r="965">
      <c r="A965" s="166" t="s">
        <v>2109</v>
      </c>
      <c r="B965" s="166" t="s">
        <v>2110</v>
      </c>
      <c r="C965" s="167"/>
      <c r="D965" s="167"/>
      <c r="E965" s="167"/>
      <c r="F965" s="166" t="s">
        <v>62</v>
      </c>
      <c r="G965" s="166" t="s">
        <v>18</v>
      </c>
    </row>
    <row r="966">
      <c r="A966" s="166" t="s">
        <v>2111</v>
      </c>
      <c r="B966" s="166" t="s">
        <v>2112</v>
      </c>
      <c r="C966" s="167"/>
      <c r="D966" s="167"/>
      <c r="E966" s="167"/>
      <c r="F966" s="166" t="s">
        <v>62</v>
      </c>
      <c r="G966" s="166" t="s">
        <v>18</v>
      </c>
    </row>
    <row r="967">
      <c r="A967" s="166" t="s">
        <v>2113</v>
      </c>
      <c r="B967" s="166" t="s">
        <v>2114</v>
      </c>
      <c r="C967" s="167"/>
      <c r="D967" s="167"/>
      <c r="E967" s="167"/>
      <c r="F967" s="166" t="s">
        <v>62</v>
      </c>
      <c r="G967" s="166" t="s">
        <v>18</v>
      </c>
    </row>
    <row r="968">
      <c r="A968" s="166" t="s">
        <v>2115</v>
      </c>
      <c r="B968" s="166" t="s">
        <v>2116</v>
      </c>
      <c r="C968" s="167"/>
      <c r="D968" s="167"/>
      <c r="E968" s="167"/>
      <c r="F968" s="166" t="s">
        <v>62</v>
      </c>
      <c r="G968" s="166" t="s">
        <v>18</v>
      </c>
    </row>
    <row r="969">
      <c r="A969" s="166" t="s">
        <v>2117</v>
      </c>
      <c r="B969" s="166" t="s">
        <v>2118</v>
      </c>
      <c r="C969" s="167"/>
      <c r="D969" s="167"/>
      <c r="E969" s="167"/>
      <c r="F969" s="166" t="s">
        <v>62</v>
      </c>
      <c r="G969" s="166" t="s">
        <v>18</v>
      </c>
    </row>
    <row r="970">
      <c r="A970" s="166" t="s">
        <v>106</v>
      </c>
      <c r="B970" s="166" t="s">
        <v>2119</v>
      </c>
      <c r="C970" s="167"/>
      <c r="D970" s="167"/>
      <c r="E970" s="167"/>
      <c r="F970" s="166" t="s">
        <v>62</v>
      </c>
      <c r="G970" s="166" t="s">
        <v>18</v>
      </c>
    </row>
    <row r="971">
      <c r="A971" s="166" t="s">
        <v>105</v>
      </c>
      <c r="B971" s="166" t="s">
        <v>2120</v>
      </c>
      <c r="C971" s="167"/>
      <c r="D971" s="167"/>
      <c r="E971" s="167"/>
      <c r="F971" s="166"/>
      <c r="G971" s="166"/>
    </row>
    <row r="972">
      <c r="A972" s="166" t="s">
        <v>107</v>
      </c>
      <c r="B972" s="166" t="s">
        <v>2121</v>
      </c>
      <c r="C972" s="167"/>
      <c r="D972" s="167"/>
      <c r="E972" s="167"/>
      <c r="F972" s="166" t="s">
        <v>62</v>
      </c>
      <c r="G972" s="166" t="s">
        <v>18</v>
      </c>
    </row>
    <row r="973">
      <c r="A973" s="166" t="s">
        <v>99</v>
      </c>
      <c r="B973" s="166" t="s">
        <v>2122</v>
      </c>
      <c r="C973" s="167"/>
      <c r="D973" s="167"/>
      <c r="E973" s="167"/>
      <c r="F973" s="166" t="s">
        <v>62</v>
      </c>
      <c r="G973" s="166" t="s">
        <v>18</v>
      </c>
    </row>
    <row r="974">
      <c r="A974" s="166" t="s">
        <v>98</v>
      </c>
      <c r="B974" s="166" t="s">
        <v>2123</v>
      </c>
      <c r="C974" s="167"/>
      <c r="D974" s="167"/>
      <c r="E974" s="167"/>
      <c r="F974" s="166" t="s">
        <v>62</v>
      </c>
      <c r="G974" s="166" t="s">
        <v>18</v>
      </c>
    </row>
    <row r="975">
      <c r="A975" s="166" t="s">
        <v>111</v>
      </c>
      <c r="B975" s="166" t="s">
        <v>2124</v>
      </c>
      <c r="C975" s="167"/>
      <c r="D975" s="167"/>
      <c r="E975" s="167"/>
      <c r="F975" s="166" t="s">
        <v>62</v>
      </c>
      <c r="G975" s="166" t="s">
        <v>2125</v>
      </c>
    </row>
    <row r="976">
      <c r="A976" s="166" t="s">
        <v>112</v>
      </c>
      <c r="B976" s="166" t="s">
        <v>2126</v>
      </c>
      <c r="C976" s="167"/>
      <c r="D976" s="167"/>
      <c r="E976" s="167"/>
      <c r="F976" s="166" t="s">
        <v>62</v>
      </c>
      <c r="G976" s="166" t="s">
        <v>2125</v>
      </c>
    </row>
    <row r="977">
      <c r="A977" s="166" t="s">
        <v>113</v>
      </c>
      <c r="B977" s="166" t="s">
        <v>2127</v>
      </c>
      <c r="C977" s="167"/>
      <c r="D977" s="167"/>
      <c r="E977" s="167"/>
      <c r="F977" s="166" t="s">
        <v>62</v>
      </c>
      <c r="G977" s="166" t="s">
        <v>2125</v>
      </c>
    </row>
    <row r="978">
      <c r="A978" s="166" t="s">
        <v>109</v>
      </c>
      <c r="B978" s="166" t="s">
        <v>2128</v>
      </c>
      <c r="C978" s="167"/>
      <c r="D978" s="167"/>
      <c r="E978" s="167"/>
      <c r="F978" s="166"/>
      <c r="G978" s="166"/>
    </row>
    <row r="979">
      <c r="A979" s="166" t="s">
        <v>110</v>
      </c>
      <c r="B979" s="166" t="s">
        <v>2129</v>
      </c>
      <c r="C979" s="167"/>
      <c r="D979" s="167"/>
      <c r="E979" s="167"/>
      <c r="F979" s="166"/>
      <c r="G979" s="166"/>
    </row>
    <row r="980">
      <c r="A980" s="166" t="s">
        <v>114</v>
      </c>
      <c r="B980" s="166" t="s">
        <v>2130</v>
      </c>
      <c r="C980" s="167"/>
      <c r="D980" s="167"/>
      <c r="E980" s="167"/>
      <c r="F980" s="166" t="s">
        <v>62</v>
      </c>
      <c r="G980" s="166" t="s">
        <v>2131</v>
      </c>
    </row>
    <row r="981">
      <c r="A981" s="167"/>
      <c r="B981" s="167"/>
      <c r="C981" s="167"/>
      <c r="D981" s="167"/>
      <c r="E981" s="167"/>
      <c r="F981" s="167"/>
      <c r="G981" s="167"/>
    </row>
    <row r="982">
      <c r="A982" s="167" t="s">
        <v>2132</v>
      </c>
      <c r="B982" s="167" t="str">
        <f>IFERROR(__xludf.DUMMYFUNCTION("GOOGLEFINANCE(A982,""Name"")"),"3M Company BDR")</f>
        <v>3M Company BDR</v>
      </c>
      <c r="C982" s="167" t="s">
        <v>54</v>
      </c>
      <c r="D982" s="167" t="s">
        <v>2133</v>
      </c>
      <c r="E982" s="167" t="s">
        <v>54</v>
      </c>
      <c r="F982" s="167" t="s">
        <v>240</v>
      </c>
      <c r="G982" s="167" t="s">
        <v>2134</v>
      </c>
    </row>
    <row r="983">
      <c r="A983" s="167" t="s">
        <v>2135</v>
      </c>
      <c r="B983" s="167" t="str">
        <f>IFERROR(__xludf.DUMMYFUNCTION("GOOGLEFINANCE(A983,""Name"")"),"Anheuser Busch Inbev Sa Nv BDR")</f>
        <v>Anheuser Busch Inbev Sa Nv BDR</v>
      </c>
      <c r="C983" s="167" t="s">
        <v>54</v>
      </c>
      <c r="D983" s="167" t="s">
        <v>465</v>
      </c>
      <c r="E983" s="167" t="s">
        <v>54</v>
      </c>
      <c r="F983" s="167" t="s">
        <v>2136</v>
      </c>
      <c r="G983" s="167" t="s">
        <v>2134</v>
      </c>
    </row>
    <row r="984">
      <c r="A984" s="167" t="s">
        <v>2137</v>
      </c>
      <c r="B984" s="167" t="str">
        <f>IFERROR(__xludf.DUMMYFUNCTION("GOOGLEFINANCE(A984,""Name"")"),"#N/A")</f>
        <v>#N/A</v>
      </c>
      <c r="C984" s="167" t="s">
        <v>54</v>
      </c>
      <c r="D984" s="167" t="s">
        <v>2138</v>
      </c>
      <c r="E984" s="167" t="s">
        <v>54</v>
      </c>
      <c r="F984" s="167" t="s">
        <v>2139</v>
      </c>
      <c r="G984" s="167" t="s">
        <v>2134</v>
      </c>
    </row>
    <row r="985">
      <c r="A985" s="167" t="s">
        <v>2140</v>
      </c>
      <c r="B985" s="167" t="str">
        <f>IFERROR(__xludf.DUMMYFUNCTION("GOOGLEFINANCE(A985,""Name"")"),"Abbott Laboratories BDR")</f>
        <v>Abbott Laboratories BDR</v>
      </c>
      <c r="C985" s="167" t="s">
        <v>54</v>
      </c>
      <c r="D985" s="167" t="s">
        <v>2141</v>
      </c>
      <c r="E985" s="167" t="s">
        <v>54</v>
      </c>
      <c r="F985" s="167" t="s">
        <v>240</v>
      </c>
      <c r="G985" s="167" t="s">
        <v>2134</v>
      </c>
    </row>
    <row r="986">
      <c r="A986" s="167" t="s">
        <v>2142</v>
      </c>
      <c r="B986" s="167" t="str">
        <f>IFERROR(__xludf.DUMMYFUNCTION("GOOGLEFINANCE(A986,""Name"")"),"Abbvie Inc BDR")</f>
        <v>Abbvie Inc BDR</v>
      </c>
      <c r="C986" s="167" t="s">
        <v>54</v>
      </c>
      <c r="D986" s="167" t="s">
        <v>245</v>
      </c>
      <c r="E986" s="167" t="s">
        <v>54</v>
      </c>
      <c r="F986" s="167" t="s">
        <v>240</v>
      </c>
      <c r="G986" s="167" t="s">
        <v>2134</v>
      </c>
    </row>
    <row r="987">
      <c r="A987" s="167" t="s">
        <v>2143</v>
      </c>
      <c r="B987" s="167" t="str">
        <f>IFERROR(__xludf.DUMMYFUNCTION("GOOGLEFINANCE(A987,""Name"")"),"#N/A")</f>
        <v>#N/A</v>
      </c>
      <c r="C987" s="167" t="s">
        <v>54</v>
      </c>
      <c r="D987" s="167" t="s">
        <v>675</v>
      </c>
      <c r="E987" s="167" t="s">
        <v>54</v>
      </c>
      <c r="F987" s="167" t="s">
        <v>240</v>
      </c>
      <c r="G987" s="167" t="s">
        <v>2134</v>
      </c>
    </row>
    <row r="988">
      <c r="A988" s="167" t="s">
        <v>2144</v>
      </c>
      <c r="B988" s="167" t="str">
        <f>IFERROR(__xludf.DUMMYFUNCTION("GOOGLEFINANCE(A988,""Name"")"),"#N/A")</f>
        <v>#N/A</v>
      </c>
      <c r="C988" s="167" t="s">
        <v>54</v>
      </c>
      <c r="D988" s="167" t="s">
        <v>2145</v>
      </c>
      <c r="E988" s="167" t="s">
        <v>54</v>
      </c>
      <c r="F988" s="167" t="s">
        <v>240</v>
      </c>
      <c r="G988" s="167" t="s">
        <v>2134</v>
      </c>
    </row>
    <row r="989">
      <c r="A989" s="167" t="s">
        <v>2146</v>
      </c>
      <c r="B989" s="167" t="str">
        <f>IFERROR(__xludf.DUMMYFUNCTION("GOOGLEFINANCE(A989,""Name"")"),"Adobe Inc Bdr")</f>
        <v>Adobe Inc Bdr</v>
      </c>
      <c r="C989" s="167" t="s">
        <v>54</v>
      </c>
      <c r="D989" s="167" t="s">
        <v>2145</v>
      </c>
      <c r="E989" s="167" t="s">
        <v>54</v>
      </c>
      <c r="F989" s="167" t="s">
        <v>240</v>
      </c>
      <c r="G989" s="167" t="s">
        <v>2134</v>
      </c>
    </row>
    <row r="990">
      <c r="A990" s="167" t="s">
        <v>2147</v>
      </c>
      <c r="B990" s="167" t="str">
        <f>IFERROR(__xludf.DUMMYFUNCTION("GOOGLEFINANCE(A990,""Name"")"),"Advance Auto Parts Inc Bdr")</f>
        <v>Advance Auto Parts Inc Bdr</v>
      </c>
      <c r="C990" s="167" t="s">
        <v>54</v>
      </c>
      <c r="D990" s="167" t="s">
        <v>2148</v>
      </c>
      <c r="E990" s="167" t="s">
        <v>54</v>
      </c>
      <c r="F990" s="167" t="s">
        <v>240</v>
      </c>
      <c r="G990" s="167" t="s">
        <v>2134</v>
      </c>
    </row>
    <row r="991">
      <c r="A991" s="167" t="s">
        <v>2149</v>
      </c>
      <c r="B991" s="167" t="str">
        <f>IFERROR(__xludf.DUMMYFUNCTION("GOOGLEFINANCE(A991,""Name"")"),"Advanced Micro Devices Inc Brazilian Depositary Receipt")</f>
        <v>Advanced Micro Devices Inc Brazilian Depositary Receipt</v>
      </c>
      <c r="C991" s="167" t="s">
        <v>54</v>
      </c>
      <c r="D991" s="167" t="s">
        <v>2145</v>
      </c>
      <c r="E991" s="167" t="s">
        <v>54</v>
      </c>
      <c r="F991" s="167" t="s">
        <v>240</v>
      </c>
      <c r="G991" s="167" t="s">
        <v>2134</v>
      </c>
    </row>
    <row r="992">
      <c r="A992" s="167" t="s">
        <v>2150</v>
      </c>
      <c r="B992" s="167" t="str">
        <f>IFERROR(__xludf.DUMMYFUNCTION("GOOGLEFINANCE(A992,""Name"")"),"Aegon Ltd Bdr")</f>
        <v>Aegon Ltd Bdr</v>
      </c>
      <c r="C992" s="167" t="s">
        <v>54</v>
      </c>
      <c r="D992" s="167" t="s">
        <v>875</v>
      </c>
      <c r="E992" s="167" t="s">
        <v>54</v>
      </c>
      <c r="F992" s="167" t="s">
        <v>2151</v>
      </c>
      <c r="G992" s="167" t="s">
        <v>2134</v>
      </c>
    </row>
    <row r="993">
      <c r="A993" s="167" t="s">
        <v>2152</v>
      </c>
      <c r="B993" s="167" t="str">
        <f>IFERROR(__xludf.DUMMYFUNCTION("GOOGLEFINANCE(A993,""Name"")"),"Aes Corp Bdr")</f>
        <v>Aes Corp Bdr</v>
      </c>
      <c r="C993" s="167" t="s">
        <v>54</v>
      </c>
      <c r="D993" s="167" t="s">
        <v>2153</v>
      </c>
      <c r="E993" s="167" t="s">
        <v>54</v>
      </c>
      <c r="F993" s="167" t="s">
        <v>240</v>
      </c>
      <c r="G993" s="167" t="s">
        <v>2134</v>
      </c>
    </row>
    <row r="994">
      <c r="A994" s="167" t="s">
        <v>2154</v>
      </c>
      <c r="B994" s="167" t="str">
        <f>IFERROR(__xludf.DUMMYFUNCTION("GOOGLEFINANCE(A994,""Name"")"),"Aflac Inc Brazilian Depositary Receipt")</f>
        <v>Aflac Inc Brazilian Depositary Receipt</v>
      </c>
      <c r="C994" s="167" t="s">
        <v>54</v>
      </c>
      <c r="D994" s="167" t="s">
        <v>2155</v>
      </c>
      <c r="E994" s="167" t="s">
        <v>54</v>
      </c>
      <c r="F994" s="167" t="s">
        <v>240</v>
      </c>
      <c r="G994" s="167" t="s">
        <v>2134</v>
      </c>
    </row>
    <row r="995">
      <c r="A995" s="167" t="s">
        <v>2156</v>
      </c>
      <c r="B995" s="167" t="str">
        <f>IFERROR(__xludf.DUMMYFUNCTION("GOOGLEFINANCE(A995,""Name"")"),"Agilent Technologies Inc Bdr")</f>
        <v>Agilent Technologies Inc Bdr</v>
      </c>
      <c r="C995" s="167" t="s">
        <v>54</v>
      </c>
      <c r="D995" s="167" t="s">
        <v>2145</v>
      </c>
      <c r="E995" s="167" t="s">
        <v>54</v>
      </c>
      <c r="F995" s="167" t="s">
        <v>240</v>
      </c>
      <c r="G995" s="167" t="s">
        <v>2134</v>
      </c>
    </row>
    <row r="996">
      <c r="A996" s="167" t="s">
        <v>2157</v>
      </c>
      <c r="B996" s="167" t="str">
        <f>IFERROR(__xludf.DUMMYFUNCTION("GOOGLEFINANCE(A996,""Name"")"),"Air Products &amp; Chemicals Inc Bdr")</f>
        <v>Air Products &amp; Chemicals Inc Bdr</v>
      </c>
      <c r="C996" s="167" t="s">
        <v>54</v>
      </c>
      <c r="D996" s="167" t="s">
        <v>205</v>
      </c>
      <c r="E996" s="167" t="s">
        <v>54</v>
      </c>
      <c r="F996" s="167" t="s">
        <v>240</v>
      </c>
      <c r="G996" s="167" t="s">
        <v>2134</v>
      </c>
    </row>
    <row r="997">
      <c r="A997" s="167" t="s">
        <v>2158</v>
      </c>
      <c r="B997" s="167" t="str">
        <f>IFERROR(__xludf.DUMMYFUNCTION("GOOGLEFINANCE(A997,""Name"")"),"Akamai Technologies Inc Bdr")</f>
        <v>Akamai Technologies Inc Bdr</v>
      </c>
      <c r="C997" s="167" t="s">
        <v>54</v>
      </c>
      <c r="D997" s="167" t="s">
        <v>2145</v>
      </c>
      <c r="E997" s="167" t="s">
        <v>54</v>
      </c>
      <c r="F997" s="167" t="s">
        <v>240</v>
      </c>
      <c r="G997" s="167" t="s">
        <v>2134</v>
      </c>
    </row>
    <row r="998">
      <c r="A998" s="167" t="s">
        <v>2159</v>
      </c>
      <c r="B998" s="167" t="str">
        <f>IFERROR(__xludf.DUMMYFUNCTION("GOOGLEFINANCE(A998,""Name"")"),"Alaska Air Group Inc Bdr")</f>
        <v>Alaska Air Group Inc Bdr</v>
      </c>
      <c r="C998" s="167" t="s">
        <v>54</v>
      </c>
      <c r="D998" s="167" t="s">
        <v>2160</v>
      </c>
      <c r="E998" s="167" t="s">
        <v>54</v>
      </c>
      <c r="F998" s="167" t="s">
        <v>240</v>
      </c>
      <c r="G998" s="167" t="s">
        <v>2134</v>
      </c>
    </row>
    <row r="999">
      <c r="A999" s="167" t="s">
        <v>2161</v>
      </c>
      <c r="B999" s="167" t="str">
        <f>IFERROR(__xludf.DUMMYFUNCTION("GOOGLEFINANCE(A999,""Name"")"),"Albemarle Corp Bdr")</f>
        <v>Albemarle Corp Bdr</v>
      </c>
      <c r="C999" s="167" t="s">
        <v>54</v>
      </c>
      <c r="D999" s="167" t="s">
        <v>205</v>
      </c>
      <c r="E999" s="167" t="s">
        <v>54</v>
      </c>
      <c r="F999" s="167" t="s">
        <v>240</v>
      </c>
      <c r="G999" s="167" t="s">
        <v>2134</v>
      </c>
    </row>
    <row r="1000">
      <c r="A1000" s="167" t="s">
        <v>2162</v>
      </c>
      <c r="B1000" s="167" t="str">
        <f>IFERROR(__xludf.DUMMYFUNCTION("GOOGLEFINANCE(A1000,""Name"")"),"Alexandria Real Estate Equities Inc Bdr")</f>
        <v>Alexandria Real Estate Equities Inc Bdr</v>
      </c>
      <c r="C1000" s="167" t="s">
        <v>54</v>
      </c>
      <c r="D1000" s="167" t="s">
        <v>2163</v>
      </c>
      <c r="E1000" s="167" t="s">
        <v>54</v>
      </c>
      <c r="F1000" s="167" t="s">
        <v>240</v>
      </c>
      <c r="G1000" s="167" t="s">
        <v>2134</v>
      </c>
    </row>
    <row r="1001">
      <c r="A1001" s="167" t="s">
        <v>2164</v>
      </c>
      <c r="B1001" s="167" t="str">
        <f>IFERROR(__xludf.DUMMYFUNCTION("GOOGLEFINANCE(A1001,""Name"")"),"#N/A")</f>
        <v>#N/A</v>
      </c>
      <c r="C1001" s="167" t="s">
        <v>54</v>
      </c>
      <c r="D1001" s="167" t="s">
        <v>2141</v>
      </c>
      <c r="E1001" s="167" t="s">
        <v>54</v>
      </c>
      <c r="F1001" s="167" t="s">
        <v>240</v>
      </c>
      <c r="G1001" s="167" t="s">
        <v>2134</v>
      </c>
    </row>
    <row r="1002">
      <c r="A1002" s="167" t="s">
        <v>2165</v>
      </c>
      <c r="B1002" s="167" t="str">
        <f>IFERROR(__xludf.DUMMYFUNCTION("GOOGLEFINANCE(A1002,""Name"")"),"Alibaba Group Holding Ltd Bdr")</f>
        <v>Alibaba Group Holding Ltd Bdr</v>
      </c>
      <c r="C1002" s="167" t="s">
        <v>54</v>
      </c>
      <c r="D1002" s="167" t="s">
        <v>2166</v>
      </c>
      <c r="E1002" s="167" t="s">
        <v>54</v>
      </c>
      <c r="F1002" s="167" t="s">
        <v>2167</v>
      </c>
      <c r="G1002" s="167" t="s">
        <v>2134</v>
      </c>
    </row>
    <row r="1003">
      <c r="A1003" s="167" t="s">
        <v>2168</v>
      </c>
      <c r="B1003" s="167" t="str">
        <f>IFERROR(__xludf.DUMMYFUNCTION("GOOGLEFINANCE(A1003,""Name"")"),"Align Technology Inc Bdr")</f>
        <v>Align Technology Inc Bdr</v>
      </c>
      <c r="C1003" s="167" t="s">
        <v>54</v>
      </c>
      <c r="D1003" s="167" t="s">
        <v>2169</v>
      </c>
      <c r="E1003" s="167" t="s">
        <v>54</v>
      </c>
      <c r="F1003" s="167" t="s">
        <v>240</v>
      </c>
      <c r="G1003" s="167" t="s">
        <v>2134</v>
      </c>
    </row>
    <row r="1004">
      <c r="A1004" s="167" t="s">
        <v>2170</v>
      </c>
      <c r="B1004" s="167" t="str">
        <f>IFERROR(__xludf.DUMMYFUNCTION("GOOGLEFINANCE(A1004,""Name"")"),"Allegion Plc Bdr")</f>
        <v>Allegion Plc Bdr</v>
      </c>
      <c r="C1004" s="167" t="s">
        <v>54</v>
      </c>
      <c r="D1004" s="167" t="s">
        <v>2171</v>
      </c>
      <c r="E1004" s="167" t="s">
        <v>54</v>
      </c>
      <c r="F1004" s="167" t="s">
        <v>240</v>
      </c>
      <c r="G1004" s="167" t="s">
        <v>2134</v>
      </c>
    </row>
    <row r="1005">
      <c r="A1005" s="167" t="s">
        <v>2172</v>
      </c>
      <c r="B1005" s="167" t="str">
        <f>IFERROR(__xludf.DUMMYFUNCTION("GOOGLEFINANCE(A1005,""Name"")"),"Alliance Data Systems Corp Bdr")</f>
        <v>Alliance Data Systems Corp Bdr</v>
      </c>
      <c r="C1005" s="167" t="s">
        <v>54</v>
      </c>
      <c r="D1005" s="167" t="s">
        <v>1051</v>
      </c>
      <c r="E1005" s="167" t="s">
        <v>54</v>
      </c>
      <c r="F1005" s="167" t="s">
        <v>240</v>
      </c>
      <c r="G1005" s="167" t="s">
        <v>2134</v>
      </c>
    </row>
    <row r="1006">
      <c r="A1006" s="167" t="s">
        <v>2173</v>
      </c>
      <c r="B1006" s="167" t="str">
        <f>IFERROR(__xludf.DUMMYFUNCTION("GOOGLEFINANCE(A1006,""Name"")"),"Alliant Energy Corp Bdr")</f>
        <v>Alliant Energy Corp Bdr</v>
      </c>
      <c r="C1006" s="167" t="s">
        <v>54</v>
      </c>
      <c r="D1006" s="167" t="s">
        <v>2153</v>
      </c>
      <c r="E1006" s="167" t="s">
        <v>54</v>
      </c>
      <c r="F1006" s="167" t="s">
        <v>240</v>
      </c>
      <c r="G1006" s="167" t="s">
        <v>2134</v>
      </c>
    </row>
    <row r="1007">
      <c r="A1007" s="167" t="s">
        <v>2174</v>
      </c>
      <c r="B1007" s="167" t="str">
        <f>IFERROR(__xludf.DUMMYFUNCTION("GOOGLEFINANCE(A1007,""Name"")"),"Allstate Corp Bdr")</f>
        <v>Allstate Corp Bdr</v>
      </c>
      <c r="C1007" s="167" t="s">
        <v>54</v>
      </c>
      <c r="D1007" s="167" t="s">
        <v>2155</v>
      </c>
      <c r="E1007" s="167" t="s">
        <v>54</v>
      </c>
      <c r="F1007" s="167" t="s">
        <v>240</v>
      </c>
      <c r="G1007" s="167" t="s">
        <v>2134</v>
      </c>
    </row>
    <row r="1008">
      <c r="A1008" s="167" t="s">
        <v>2175</v>
      </c>
      <c r="B1008" s="167" t="str">
        <f>IFERROR(__xludf.DUMMYFUNCTION("GOOGLEFINANCE(A1008,""Name"")"),"Alnylam Pharmaceuticals Inc Bdr")</f>
        <v>Alnylam Pharmaceuticals Inc Bdr</v>
      </c>
      <c r="C1008" s="167" t="s">
        <v>54</v>
      </c>
      <c r="D1008" s="167" t="s">
        <v>2176</v>
      </c>
      <c r="E1008" s="167" t="s">
        <v>54</v>
      </c>
      <c r="F1008" s="167" t="s">
        <v>240</v>
      </c>
      <c r="G1008" s="167" t="s">
        <v>2134</v>
      </c>
    </row>
    <row r="1009">
      <c r="A1009" s="167" t="s">
        <v>2177</v>
      </c>
      <c r="B1009" s="167" t="str">
        <f>IFERROR(__xludf.DUMMYFUNCTION("GOOGLEFINANCE(A1009,""Name"")"),"Alphabet BDR")</f>
        <v>Alphabet BDR</v>
      </c>
      <c r="C1009" s="167" t="s">
        <v>54</v>
      </c>
      <c r="D1009" s="167" t="s">
        <v>2145</v>
      </c>
      <c r="E1009" s="167" t="s">
        <v>54</v>
      </c>
      <c r="F1009" s="167" t="s">
        <v>240</v>
      </c>
      <c r="G1009" s="167" t="s">
        <v>2134</v>
      </c>
    </row>
    <row r="1010">
      <c r="A1010" s="167" t="s">
        <v>2178</v>
      </c>
      <c r="B1010" s="167" t="str">
        <f>IFERROR(__xludf.DUMMYFUNCTION("GOOGLEFINANCE(A1010,""Name"")"),"Alphabet BDR")</f>
        <v>Alphabet BDR</v>
      </c>
      <c r="C1010" s="167" t="s">
        <v>54</v>
      </c>
      <c r="D1010" s="167" t="s">
        <v>2145</v>
      </c>
      <c r="E1010" s="167" t="s">
        <v>54</v>
      </c>
      <c r="F1010" s="167" t="s">
        <v>240</v>
      </c>
      <c r="G1010" s="167" t="s">
        <v>2134</v>
      </c>
    </row>
    <row r="1011">
      <c r="A1011" s="167" t="s">
        <v>2179</v>
      </c>
      <c r="B1011" s="167" t="str">
        <f>IFERROR(__xludf.DUMMYFUNCTION("GOOGLEFINANCE(A1011,""Name"")"),"#N/A")</f>
        <v>#N/A</v>
      </c>
      <c r="C1011" s="167" t="s">
        <v>54</v>
      </c>
      <c r="D1011" s="167" t="s">
        <v>2145</v>
      </c>
      <c r="E1011" s="167" t="s">
        <v>54</v>
      </c>
      <c r="F1011" s="167" t="s">
        <v>240</v>
      </c>
      <c r="G1011" s="167" t="s">
        <v>2134</v>
      </c>
    </row>
    <row r="1012">
      <c r="A1012" s="167" t="s">
        <v>2180</v>
      </c>
      <c r="B1012" s="167" t="str">
        <f>IFERROR(__xludf.DUMMYFUNCTION("GOOGLEFINANCE(A1012,""Name"")"),"Altria Group Inc BDR")</f>
        <v>Altria Group Inc BDR</v>
      </c>
      <c r="C1012" s="167" t="s">
        <v>54</v>
      </c>
      <c r="D1012" s="167" t="s">
        <v>2181</v>
      </c>
      <c r="E1012" s="167" t="s">
        <v>54</v>
      </c>
      <c r="F1012" s="167" t="s">
        <v>240</v>
      </c>
      <c r="G1012" s="167" t="s">
        <v>2134</v>
      </c>
    </row>
    <row r="1013">
      <c r="A1013" s="167" t="s">
        <v>2182</v>
      </c>
      <c r="B1013" s="167" t="str">
        <f>IFERROR(__xludf.DUMMYFUNCTION("GOOGLEFINANCE(A1013,""Name"")"),"Amcor Plc Bdr")</f>
        <v>Amcor Plc Bdr</v>
      </c>
      <c r="C1013" s="167" t="s">
        <v>54</v>
      </c>
      <c r="D1013" s="167" t="s">
        <v>2138</v>
      </c>
      <c r="E1013" s="167" t="s">
        <v>54</v>
      </c>
      <c r="F1013" s="167" t="s">
        <v>2183</v>
      </c>
      <c r="G1013" s="167" t="s">
        <v>2134</v>
      </c>
    </row>
    <row r="1014">
      <c r="A1014" s="167" t="s">
        <v>2184</v>
      </c>
      <c r="B1014" s="167" t="str">
        <f>IFERROR(__xludf.DUMMYFUNCTION("GOOGLEFINANCE(A1014,""Name"")"),"Ameren Corp Bdr")</f>
        <v>Ameren Corp Bdr</v>
      </c>
      <c r="C1014" s="167" t="s">
        <v>54</v>
      </c>
      <c r="D1014" s="167" t="s">
        <v>2153</v>
      </c>
      <c r="E1014" s="167" t="s">
        <v>54</v>
      </c>
      <c r="F1014" s="167" t="s">
        <v>240</v>
      </c>
      <c r="G1014" s="167" t="s">
        <v>2134</v>
      </c>
    </row>
    <row r="1015">
      <c r="A1015" s="167" t="s">
        <v>2185</v>
      </c>
      <c r="B1015" s="167" t="str">
        <f>IFERROR(__xludf.DUMMYFUNCTION("GOOGLEFINANCE(A1015,""Name"")"),"#N/A")</f>
        <v>#N/A</v>
      </c>
      <c r="C1015" s="167" t="s">
        <v>54</v>
      </c>
      <c r="D1015" s="167" t="s">
        <v>2186</v>
      </c>
      <c r="E1015" s="167" t="s">
        <v>54</v>
      </c>
      <c r="F1015" s="167" t="s">
        <v>2187</v>
      </c>
      <c r="G1015" s="167" t="s">
        <v>2134</v>
      </c>
    </row>
    <row r="1016">
      <c r="A1016" s="167" t="s">
        <v>2188</v>
      </c>
      <c r="B1016" s="167" t="str">
        <f>IFERROR(__xludf.DUMMYFUNCTION("GOOGLEFINANCE(A1016,""Name"")"),"American Airlines Group Inc BDR")</f>
        <v>American Airlines Group Inc BDR</v>
      </c>
      <c r="C1016" s="167" t="s">
        <v>54</v>
      </c>
      <c r="D1016" s="167" t="s">
        <v>361</v>
      </c>
      <c r="E1016" s="167" t="s">
        <v>54</v>
      </c>
      <c r="F1016" s="167" t="s">
        <v>240</v>
      </c>
      <c r="G1016" s="167" t="s">
        <v>2134</v>
      </c>
    </row>
    <row r="1017">
      <c r="A1017" s="167" t="s">
        <v>2189</v>
      </c>
      <c r="B1017" s="167" t="str">
        <f>IFERROR(__xludf.DUMMYFUNCTION("GOOGLEFINANCE(A1017,""Name"")"),"American Electric Power Co Inc Brazilian Depositary Receipt")</f>
        <v>American Electric Power Co Inc Brazilian Depositary Receipt</v>
      </c>
      <c r="C1017" s="167" t="s">
        <v>54</v>
      </c>
      <c r="D1017" s="167" t="s">
        <v>235</v>
      </c>
      <c r="E1017" s="167" t="s">
        <v>54</v>
      </c>
      <c r="F1017" s="167" t="s">
        <v>240</v>
      </c>
      <c r="G1017" s="167" t="s">
        <v>2134</v>
      </c>
    </row>
    <row r="1018">
      <c r="A1018" s="167" t="s">
        <v>2190</v>
      </c>
      <c r="B1018" s="167" t="str">
        <f>IFERROR(__xludf.DUMMYFUNCTION("GOOGLEFINANCE(A1018,""Name"")"),"American Tower Corp Bdr")</f>
        <v>American Tower Corp Bdr</v>
      </c>
      <c r="C1018" s="167" t="s">
        <v>54</v>
      </c>
      <c r="D1018" s="167" t="s">
        <v>2145</v>
      </c>
      <c r="E1018" s="167" t="s">
        <v>54</v>
      </c>
      <c r="F1018" s="167" t="s">
        <v>240</v>
      </c>
      <c r="G1018" s="167" t="s">
        <v>2134</v>
      </c>
    </row>
    <row r="1019">
      <c r="A1019" s="167" t="s">
        <v>2191</v>
      </c>
      <c r="B1019" s="167" t="str">
        <f>IFERROR(__xludf.DUMMYFUNCTION("GOOGLEFINANCE(A1019,""Name"")"),"American Water Works Co Inc Bdr")</f>
        <v>American Water Works Co Inc Bdr</v>
      </c>
      <c r="C1019" s="167" t="s">
        <v>54</v>
      </c>
      <c r="D1019" s="167" t="s">
        <v>2192</v>
      </c>
      <c r="E1019" s="167" t="s">
        <v>54</v>
      </c>
      <c r="F1019" s="167" t="s">
        <v>240</v>
      </c>
      <c r="G1019" s="167" t="s">
        <v>2134</v>
      </c>
    </row>
    <row r="1020">
      <c r="A1020" s="167" t="s">
        <v>2193</v>
      </c>
      <c r="B1020" s="167" t="str">
        <f>IFERROR(__xludf.DUMMYFUNCTION("GOOGLEFINANCE(A1020,""Name"")"),"Ameriprise Financial Inc Bdr")</f>
        <v>Ameriprise Financial Inc Bdr</v>
      </c>
      <c r="C1020" s="167" t="s">
        <v>54</v>
      </c>
      <c r="D1020" s="167" t="s">
        <v>2194</v>
      </c>
      <c r="E1020" s="167" t="s">
        <v>54</v>
      </c>
      <c r="F1020" s="167" t="s">
        <v>240</v>
      </c>
      <c r="G1020" s="167" t="s">
        <v>2134</v>
      </c>
    </row>
    <row r="1021">
      <c r="A1021" s="167" t="s">
        <v>2195</v>
      </c>
      <c r="B1021" s="167" t="str">
        <f>IFERROR(__xludf.DUMMYFUNCTION("GOOGLEFINANCE(A1021,""Name"")"),"#N/A")</f>
        <v>#N/A</v>
      </c>
      <c r="C1021" s="167" t="s">
        <v>54</v>
      </c>
      <c r="D1021" s="167" t="s">
        <v>2196</v>
      </c>
      <c r="E1021" s="167" t="s">
        <v>54</v>
      </c>
      <c r="F1021" s="167" t="s">
        <v>240</v>
      </c>
      <c r="G1021" s="167" t="s">
        <v>2134</v>
      </c>
    </row>
    <row r="1022">
      <c r="A1022" s="167" t="s">
        <v>2197</v>
      </c>
      <c r="B1022" s="167" t="str">
        <f>IFERROR(__xludf.DUMMYFUNCTION("GOOGLEFINANCE(A1022,""Name"")"),"Ametek Inc Bdr")</f>
        <v>Ametek Inc Bdr</v>
      </c>
      <c r="C1022" s="167" t="s">
        <v>54</v>
      </c>
      <c r="D1022" s="167" t="s">
        <v>2198</v>
      </c>
      <c r="E1022" s="167" t="s">
        <v>54</v>
      </c>
      <c r="F1022" s="167" t="s">
        <v>240</v>
      </c>
      <c r="G1022" s="167" t="s">
        <v>2134</v>
      </c>
    </row>
    <row r="1023">
      <c r="A1023" s="167" t="s">
        <v>2199</v>
      </c>
      <c r="B1023" s="167" t="str">
        <f>IFERROR(__xludf.DUMMYFUNCTION("GOOGLEFINANCE(A1023,""Name"")"),"Amgen Inc. BDR")</f>
        <v>Amgen Inc. BDR</v>
      </c>
      <c r="C1023" s="167" t="s">
        <v>54</v>
      </c>
      <c r="D1023" s="167" t="s">
        <v>2200</v>
      </c>
      <c r="E1023" s="167" t="s">
        <v>54</v>
      </c>
      <c r="F1023" s="167" t="s">
        <v>240</v>
      </c>
      <c r="G1023" s="167" t="s">
        <v>2134</v>
      </c>
    </row>
    <row r="1024">
      <c r="A1024" s="167" t="s">
        <v>2201</v>
      </c>
      <c r="B1024" s="167" t="str">
        <f>IFERROR(__xludf.DUMMYFUNCTION("GOOGLEFINANCE(A1024,""Name"")"),"Amphenol Corp Bdr")</f>
        <v>Amphenol Corp Bdr</v>
      </c>
      <c r="C1024" s="167" t="s">
        <v>54</v>
      </c>
      <c r="D1024" s="167" t="s">
        <v>2202</v>
      </c>
      <c r="E1024" s="167" t="s">
        <v>54</v>
      </c>
      <c r="F1024" s="167" t="s">
        <v>240</v>
      </c>
      <c r="G1024" s="167" t="s">
        <v>2134</v>
      </c>
    </row>
    <row r="1025">
      <c r="A1025" s="167" t="s">
        <v>2203</v>
      </c>
      <c r="B1025" s="167" t="str">
        <f>IFERROR(__xludf.DUMMYFUNCTION("GOOGLEFINANCE(A1025,""Name"")"),"Analog Devices Inc Brazilian Depositary Receipt")</f>
        <v>Analog Devices Inc Brazilian Depositary Receipt</v>
      </c>
      <c r="C1025" s="167" t="s">
        <v>54</v>
      </c>
      <c r="D1025" s="167" t="s">
        <v>2145</v>
      </c>
      <c r="E1025" s="167" t="s">
        <v>54</v>
      </c>
      <c r="F1025" s="167" t="s">
        <v>240</v>
      </c>
      <c r="G1025" s="167" t="s">
        <v>2134</v>
      </c>
    </row>
    <row r="1026">
      <c r="A1026" s="167" t="s">
        <v>2204</v>
      </c>
      <c r="B1026" s="167" t="str">
        <f>IFERROR(__xludf.DUMMYFUNCTION("GOOGLEFINANCE(A1026,""Name"")"),"#N/A")</f>
        <v>#N/A</v>
      </c>
      <c r="C1026" s="167" t="s">
        <v>54</v>
      </c>
      <c r="D1026" s="167" t="s">
        <v>159</v>
      </c>
      <c r="E1026" s="167" t="s">
        <v>54</v>
      </c>
      <c r="F1026" s="167" t="s">
        <v>2205</v>
      </c>
      <c r="G1026" s="167" t="s">
        <v>2134</v>
      </c>
    </row>
    <row r="1027">
      <c r="A1027" s="167" t="s">
        <v>2206</v>
      </c>
      <c r="B1027" s="167" t="str">
        <f>IFERROR(__xludf.DUMMYFUNCTION("GOOGLEFINANCE(A1027,""Name"")"),"#N/A")</f>
        <v>#N/A</v>
      </c>
      <c r="C1027" s="167" t="s">
        <v>54</v>
      </c>
      <c r="D1027" s="167" t="s">
        <v>2145</v>
      </c>
      <c r="E1027" s="167" t="s">
        <v>54</v>
      </c>
      <c r="F1027" s="167" t="s">
        <v>240</v>
      </c>
      <c r="G1027" s="167" t="s">
        <v>2134</v>
      </c>
    </row>
    <row r="1028">
      <c r="A1028" s="167" t="s">
        <v>2207</v>
      </c>
      <c r="B1028" s="167" t="str">
        <f>IFERROR(__xludf.DUMMYFUNCTION("GOOGLEFINANCE(A1028,""Name"")"),"#N/A")</f>
        <v>#N/A</v>
      </c>
      <c r="C1028" s="167" t="s">
        <v>54</v>
      </c>
      <c r="D1028" s="167" t="s">
        <v>2155</v>
      </c>
      <c r="E1028" s="167" t="s">
        <v>54</v>
      </c>
      <c r="F1028" s="167" t="s">
        <v>240</v>
      </c>
      <c r="G1028" s="167" t="s">
        <v>2134</v>
      </c>
    </row>
    <row r="1029">
      <c r="A1029" s="167" t="s">
        <v>2208</v>
      </c>
      <c r="B1029" s="167" t="str">
        <f>IFERROR(__xludf.DUMMYFUNCTION("GOOGLEFINANCE(A1029,""Name"")"),"Ao Smith Corp Brazilian Depositary Receipt")</f>
        <v>Ao Smith Corp Brazilian Depositary Receipt</v>
      </c>
      <c r="C1029" s="167" t="s">
        <v>54</v>
      </c>
      <c r="D1029" s="167" t="s">
        <v>2209</v>
      </c>
      <c r="E1029" s="167" t="s">
        <v>54</v>
      </c>
      <c r="F1029" s="167" t="s">
        <v>240</v>
      </c>
      <c r="G1029" s="167" t="s">
        <v>2134</v>
      </c>
    </row>
    <row r="1030">
      <c r="A1030" s="167" t="s">
        <v>2210</v>
      </c>
      <c r="B1030" s="167" t="str">
        <f>IFERROR(__xludf.DUMMYFUNCTION("GOOGLEFINANCE(A1030,""Name"")"),"Aon Plc Bdr")</f>
        <v>Aon Plc Bdr</v>
      </c>
      <c r="C1030" s="167" t="s">
        <v>54</v>
      </c>
      <c r="D1030" s="167" t="s">
        <v>2155</v>
      </c>
      <c r="E1030" s="167" t="s">
        <v>54</v>
      </c>
      <c r="F1030" s="167" t="s">
        <v>240</v>
      </c>
      <c r="G1030" s="167" t="s">
        <v>2134</v>
      </c>
    </row>
    <row r="1031">
      <c r="A1031" s="167" t="s">
        <v>2211</v>
      </c>
      <c r="B1031" s="167" t="str">
        <f>IFERROR(__xludf.DUMMYFUNCTION("GOOGLEFINANCE(A1031,""Name"")"),"Apa Corp Brazilian Depositary Receipt")</f>
        <v>Apa Corp Brazilian Depositary Receipt</v>
      </c>
      <c r="C1031" s="167" t="s">
        <v>54</v>
      </c>
      <c r="D1031" s="167" t="s">
        <v>129</v>
      </c>
      <c r="E1031" s="167" t="s">
        <v>54</v>
      </c>
      <c r="F1031" s="167" t="s">
        <v>240</v>
      </c>
      <c r="G1031" s="167" t="s">
        <v>2134</v>
      </c>
    </row>
    <row r="1032">
      <c r="A1032" s="167" t="s">
        <v>2212</v>
      </c>
      <c r="B1032" s="167" t="str">
        <f>IFERROR(__xludf.DUMMYFUNCTION("GOOGLEFINANCE(A1032,""Name"")"),"Apartment Investment &amp; Management Co Bdr")</f>
        <v>Apartment Investment &amp; Management Co Bdr</v>
      </c>
      <c r="C1032" s="167" t="s">
        <v>54</v>
      </c>
      <c r="D1032" s="167" t="s">
        <v>2163</v>
      </c>
      <c r="E1032" s="167" t="s">
        <v>54</v>
      </c>
      <c r="F1032" s="167" t="s">
        <v>240</v>
      </c>
      <c r="G1032" s="167" t="s">
        <v>2134</v>
      </c>
    </row>
    <row r="1033">
      <c r="A1033" s="167" t="s">
        <v>2213</v>
      </c>
      <c r="B1033" s="167" t="str">
        <f>IFERROR(__xludf.DUMMYFUNCTION("GOOGLEFINANCE(A1033,""Name"")"),"Apple BDR")</f>
        <v>Apple BDR</v>
      </c>
      <c r="C1033" s="167" t="s">
        <v>54</v>
      </c>
      <c r="D1033" s="167" t="s">
        <v>2214</v>
      </c>
      <c r="E1033" s="167" t="s">
        <v>54</v>
      </c>
      <c r="F1033" s="167" t="s">
        <v>240</v>
      </c>
      <c r="G1033" s="167" t="s">
        <v>2134</v>
      </c>
    </row>
    <row r="1034">
      <c r="A1034" s="167" t="s">
        <v>2215</v>
      </c>
      <c r="B1034" s="167" t="str">
        <f>IFERROR(__xludf.DUMMYFUNCTION("GOOGLEFINANCE(A1034,""Name"")"),"Applied Materials Inc Brazilian Depositary Receipt")</f>
        <v>Applied Materials Inc Brazilian Depositary Receipt</v>
      </c>
      <c r="C1034" s="167" t="s">
        <v>54</v>
      </c>
      <c r="D1034" s="167" t="s">
        <v>2216</v>
      </c>
      <c r="E1034" s="167" t="s">
        <v>54</v>
      </c>
      <c r="F1034" s="167" t="s">
        <v>240</v>
      </c>
      <c r="G1034" s="167" t="s">
        <v>2134</v>
      </c>
    </row>
    <row r="1035">
      <c r="A1035" s="167" t="s">
        <v>2217</v>
      </c>
      <c r="B1035" s="167" t="str">
        <f>IFERROR(__xludf.DUMMYFUNCTION("GOOGLEFINANCE(A1035,""Name"")"),"Aptiv Plc Bdr")</f>
        <v>Aptiv Plc Bdr</v>
      </c>
      <c r="C1035" s="167" t="s">
        <v>54</v>
      </c>
      <c r="D1035" s="167" t="s">
        <v>2218</v>
      </c>
      <c r="E1035" s="167" t="s">
        <v>54</v>
      </c>
      <c r="F1035" s="167" t="s">
        <v>2219</v>
      </c>
      <c r="G1035" s="167" t="s">
        <v>2134</v>
      </c>
    </row>
    <row r="1036">
      <c r="A1036" s="167" t="s">
        <v>2220</v>
      </c>
      <c r="B1036" s="167" t="str">
        <f>IFERROR(__xludf.DUMMYFUNCTION("GOOGLEFINANCE(A1036,""Name"")"),"Arcelor Mittal BDR")</f>
        <v>Arcelor Mittal BDR</v>
      </c>
      <c r="C1036" s="167" t="s">
        <v>54</v>
      </c>
      <c r="D1036" s="167" t="s">
        <v>2221</v>
      </c>
      <c r="E1036" s="167" t="s">
        <v>54</v>
      </c>
      <c r="F1036" s="167" t="s">
        <v>240</v>
      </c>
      <c r="G1036" s="167" t="s">
        <v>2134</v>
      </c>
    </row>
    <row r="1037">
      <c r="A1037" s="167" t="s">
        <v>2222</v>
      </c>
      <c r="B1037" s="167" t="str">
        <f>IFERROR(__xludf.DUMMYFUNCTION("GOOGLEFINANCE(A1037,""Name"")"),"Archer-Daniels-Midland Co Brazilian Depositary Receipt")</f>
        <v>Archer-Daniels-Midland Co Brazilian Depositary Receipt</v>
      </c>
      <c r="C1037" s="167" t="s">
        <v>54</v>
      </c>
      <c r="D1037" s="167" t="s">
        <v>2138</v>
      </c>
      <c r="E1037" s="167" t="s">
        <v>54</v>
      </c>
      <c r="F1037" s="167" t="s">
        <v>240</v>
      </c>
      <c r="G1037" s="167" t="s">
        <v>2134</v>
      </c>
    </row>
    <row r="1038">
      <c r="A1038" s="167" t="s">
        <v>2223</v>
      </c>
      <c r="B1038" s="167" t="str">
        <f>IFERROR(__xludf.DUMMYFUNCTION("GOOGLEFINANCE(A1038,""Name"")"),"Argenx Se Bdr")</f>
        <v>Argenx Se Bdr</v>
      </c>
      <c r="C1038" s="167" t="s">
        <v>54</v>
      </c>
      <c r="D1038" s="167" t="s">
        <v>2176</v>
      </c>
      <c r="E1038" s="167" t="s">
        <v>54</v>
      </c>
      <c r="F1038" s="167" t="s">
        <v>2151</v>
      </c>
      <c r="G1038" s="167" t="s">
        <v>2134</v>
      </c>
    </row>
    <row r="1039">
      <c r="A1039" s="167" t="s">
        <v>2224</v>
      </c>
      <c r="B1039" s="167" t="str">
        <f>IFERROR(__xludf.DUMMYFUNCTION("GOOGLEFINANCE(A1039,""Name"")"),"Arista Networks Inc Bdr")</f>
        <v>Arista Networks Inc Bdr</v>
      </c>
      <c r="C1039" s="167" t="s">
        <v>54</v>
      </c>
      <c r="D1039" s="167" t="s">
        <v>2225</v>
      </c>
      <c r="E1039" s="167" t="s">
        <v>54</v>
      </c>
      <c r="F1039" s="167" t="s">
        <v>240</v>
      </c>
      <c r="G1039" s="167" t="s">
        <v>2134</v>
      </c>
    </row>
    <row r="1040">
      <c r="A1040" s="167" t="s">
        <v>2226</v>
      </c>
      <c r="B1040" s="167" t="str">
        <f>IFERROR(__xludf.DUMMYFUNCTION("GOOGLEFINANCE(A1040,""Name"")"),"Armstrong World Industries Inc Bdr")</f>
        <v>Armstrong World Industries Inc Bdr</v>
      </c>
      <c r="C1040" s="167" t="s">
        <v>54</v>
      </c>
      <c r="D1040" s="167" t="s">
        <v>2138</v>
      </c>
      <c r="E1040" s="167" t="s">
        <v>54</v>
      </c>
      <c r="F1040" s="167" t="s">
        <v>240</v>
      </c>
      <c r="G1040" s="167" t="s">
        <v>2134</v>
      </c>
    </row>
    <row r="1041">
      <c r="A1041" s="167" t="s">
        <v>2227</v>
      </c>
      <c r="B1041" s="167" t="str">
        <f>IFERROR(__xludf.DUMMYFUNCTION("GOOGLEFINANCE(A1041,""Name"")"),"Arthur J Gallagher &amp; Co Bdr")</f>
        <v>Arthur J Gallagher &amp; Co Bdr</v>
      </c>
      <c r="C1041" s="167" t="s">
        <v>54</v>
      </c>
      <c r="D1041" s="167" t="s">
        <v>2155</v>
      </c>
      <c r="E1041" s="167" t="s">
        <v>54</v>
      </c>
      <c r="F1041" s="167" t="s">
        <v>240</v>
      </c>
      <c r="G1041" s="167" t="s">
        <v>2134</v>
      </c>
    </row>
    <row r="1042">
      <c r="A1042" s="167" t="s">
        <v>2228</v>
      </c>
      <c r="B1042" s="167" t="str">
        <f>IFERROR(__xludf.DUMMYFUNCTION("GOOGLEFINANCE(A1042,""Name"")"),"Ascendis Pharma A/S Bdr")</f>
        <v>Ascendis Pharma A/S Bdr</v>
      </c>
      <c r="C1042" s="167" t="s">
        <v>54</v>
      </c>
      <c r="D1042" s="167" t="s">
        <v>2176</v>
      </c>
      <c r="E1042" s="167" t="s">
        <v>54</v>
      </c>
      <c r="F1042" s="167" t="s">
        <v>2229</v>
      </c>
      <c r="G1042" s="167" t="s">
        <v>2134</v>
      </c>
    </row>
    <row r="1043">
      <c r="A1043" s="167" t="s">
        <v>2230</v>
      </c>
      <c r="B1043" s="167" t="str">
        <f>IFERROR(__xludf.DUMMYFUNCTION("GOOGLEFINANCE(A1043,""Name"")"),"Asml Holding Nv Bdr")</f>
        <v>Asml Holding Nv Bdr</v>
      </c>
      <c r="C1043" s="167" t="s">
        <v>54</v>
      </c>
      <c r="D1043" s="167" t="s">
        <v>2231</v>
      </c>
      <c r="E1043" s="167" t="s">
        <v>54</v>
      </c>
      <c r="F1043" s="167" t="s">
        <v>2232</v>
      </c>
      <c r="G1043" s="167" t="s">
        <v>2134</v>
      </c>
    </row>
    <row r="1044">
      <c r="A1044" s="167" t="s">
        <v>2233</v>
      </c>
      <c r="B1044" s="167" t="str">
        <f>IFERROR(__xludf.DUMMYFUNCTION("GOOGLEFINANCE(A1044,""Name"")"),"Assurant Inc Bdr")</f>
        <v>Assurant Inc Bdr</v>
      </c>
      <c r="C1044" s="167" t="s">
        <v>54</v>
      </c>
      <c r="D1044" s="167" t="s">
        <v>2234</v>
      </c>
      <c r="E1044" s="167" t="s">
        <v>54</v>
      </c>
      <c r="F1044" s="167" t="s">
        <v>240</v>
      </c>
      <c r="G1044" s="167" t="s">
        <v>2134</v>
      </c>
    </row>
    <row r="1045">
      <c r="A1045" s="167" t="s">
        <v>2235</v>
      </c>
      <c r="B1045" s="167" t="str">
        <f>IFERROR(__xludf.DUMMYFUNCTION("GOOGLEFINANCE(A1045,""Name"")"),"Astrazeneca Plc Bdr")</f>
        <v>Astrazeneca Plc Bdr</v>
      </c>
      <c r="C1045" s="167" t="s">
        <v>54</v>
      </c>
      <c r="D1045" s="167" t="s">
        <v>2176</v>
      </c>
      <c r="E1045" s="167" t="s">
        <v>54</v>
      </c>
      <c r="F1045" s="167" t="s">
        <v>2236</v>
      </c>
      <c r="G1045" s="167" t="s">
        <v>2134</v>
      </c>
    </row>
    <row r="1046">
      <c r="A1046" s="167" t="s">
        <v>2237</v>
      </c>
      <c r="B1046" s="167" t="str">
        <f>IFERROR(__xludf.DUMMYFUNCTION("GOOGLEFINANCE(A1046,""Name"")"),"Atlassian Corporation Plc Bdr")</f>
        <v>Atlassian Corporation Plc Bdr</v>
      </c>
      <c r="C1046" s="167" t="s">
        <v>54</v>
      </c>
      <c r="D1046" s="167" t="s">
        <v>2145</v>
      </c>
      <c r="E1046" s="167" t="s">
        <v>54</v>
      </c>
      <c r="F1046" s="167" t="s">
        <v>2238</v>
      </c>
      <c r="G1046" s="167" t="s">
        <v>2134</v>
      </c>
    </row>
    <row r="1047">
      <c r="A1047" s="167" t="s">
        <v>2239</v>
      </c>
      <c r="B1047" s="167" t="str">
        <f>IFERROR(__xludf.DUMMYFUNCTION("GOOGLEFINANCE(A1047,""Name"")"),"Atmos Energy Corp Bdr")</f>
        <v>Atmos Energy Corp Bdr</v>
      </c>
      <c r="C1047" s="167" t="s">
        <v>54</v>
      </c>
      <c r="D1047" s="167" t="s">
        <v>2153</v>
      </c>
      <c r="E1047" s="167" t="s">
        <v>54</v>
      </c>
      <c r="F1047" s="167" t="s">
        <v>240</v>
      </c>
      <c r="G1047" s="167" t="s">
        <v>2134</v>
      </c>
    </row>
    <row r="1048">
      <c r="A1048" s="167" t="s">
        <v>2240</v>
      </c>
      <c r="B1048" s="167" t="str">
        <f>IFERROR(__xludf.DUMMYFUNCTION("GOOGLEFINANCE(A1048,""Name"")"),"Autodesk Inc Bdr")</f>
        <v>Autodesk Inc Bdr</v>
      </c>
      <c r="C1048" s="167" t="s">
        <v>54</v>
      </c>
      <c r="D1048" s="167" t="s">
        <v>2145</v>
      </c>
      <c r="E1048" s="167" t="s">
        <v>54</v>
      </c>
      <c r="F1048" s="167" t="s">
        <v>240</v>
      </c>
      <c r="G1048" s="167" t="s">
        <v>2134</v>
      </c>
    </row>
    <row r="1049">
      <c r="A1049" s="167" t="s">
        <v>2241</v>
      </c>
      <c r="B1049" s="167" t="str">
        <f>IFERROR(__xludf.DUMMYFUNCTION("GOOGLEFINANCE(A1049,""Name"")"),"Autohome Inc Bdr")</f>
        <v>Autohome Inc Bdr</v>
      </c>
      <c r="C1049" s="167" t="s">
        <v>54</v>
      </c>
      <c r="D1049" s="167" t="s">
        <v>2186</v>
      </c>
      <c r="E1049" s="167" t="s">
        <v>54</v>
      </c>
      <c r="F1049" s="167" t="s">
        <v>2167</v>
      </c>
      <c r="G1049" s="167" t="s">
        <v>2134</v>
      </c>
    </row>
    <row r="1050">
      <c r="A1050" s="167" t="s">
        <v>2242</v>
      </c>
      <c r="B1050" s="167" t="str">
        <f>IFERROR(__xludf.DUMMYFUNCTION("GOOGLEFINANCE(A1050,""Name"")"),"Automatic Data Processing Inc Bdr")</f>
        <v>Automatic Data Processing Inc Bdr</v>
      </c>
      <c r="C1050" s="167" t="s">
        <v>54</v>
      </c>
      <c r="D1050" s="167" t="s">
        <v>2194</v>
      </c>
      <c r="E1050" s="167" t="s">
        <v>54</v>
      </c>
      <c r="F1050" s="167" t="s">
        <v>240</v>
      </c>
      <c r="G1050" s="167" t="s">
        <v>2134</v>
      </c>
    </row>
    <row r="1051">
      <c r="A1051" s="167" t="s">
        <v>2243</v>
      </c>
      <c r="B1051" s="167" t="str">
        <f>IFERROR(__xludf.DUMMYFUNCTION("GOOGLEFINANCE(A1051,""Name"")"),"Autozone Inc Bdr")</f>
        <v>Autozone Inc Bdr</v>
      </c>
      <c r="C1051" s="167" t="s">
        <v>54</v>
      </c>
      <c r="D1051" s="167" t="s">
        <v>2244</v>
      </c>
      <c r="E1051" s="167" t="s">
        <v>54</v>
      </c>
      <c r="F1051" s="167" t="s">
        <v>240</v>
      </c>
      <c r="G1051" s="167" t="s">
        <v>2134</v>
      </c>
    </row>
    <row r="1052">
      <c r="A1052" s="167" t="s">
        <v>2245</v>
      </c>
      <c r="B1052" s="167" t="str">
        <f>IFERROR(__xludf.DUMMYFUNCTION("GOOGLEFINANCE(A1052,""Name"")"),"#N/A")</f>
        <v>#N/A</v>
      </c>
      <c r="C1052" s="167" t="s">
        <v>54</v>
      </c>
      <c r="D1052" s="167" t="s">
        <v>2163</v>
      </c>
      <c r="E1052" s="167" t="s">
        <v>54</v>
      </c>
      <c r="F1052" s="167" t="s">
        <v>240</v>
      </c>
      <c r="G1052" s="167" t="s">
        <v>2134</v>
      </c>
    </row>
    <row r="1053">
      <c r="A1053" s="167" t="s">
        <v>2246</v>
      </c>
      <c r="B1053" s="167" t="str">
        <f>IFERROR(__xludf.DUMMYFUNCTION("GOOGLEFINANCE(A1053,""Name"")"),"Avery Dennison Corp Bdr")</f>
        <v>Avery Dennison Corp Bdr</v>
      </c>
      <c r="C1053" s="167" t="s">
        <v>54</v>
      </c>
      <c r="D1053" s="167" t="s">
        <v>2247</v>
      </c>
      <c r="E1053" s="167" t="s">
        <v>54</v>
      </c>
      <c r="F1053" s="167" t="s">
        <v>240</v>
      </c>
      <c r="G1053" s="167" t="s">
        <v>2134</v>
      </c>
    </row>
    <row r="1054">
      <c r="A1054" s="167" t="s">
        <v>2248</v>
      </c>
      <c r="B1054" s="167" t="str">
        <f>IFERROR(__xludf.DUMMYFUNCTION("GOOGLEFINANCE(A1054,""Name"")"),"Baidu Inc Bdr")</f>
        <v>Baidu Inc Bdr</v>
      </c>
      <c r="C1054" s="167" t="s">
        <v>54</v>
      </c>
      <c r="D1054" s="167" t="s">
        <v>2145</v>
      </c>
      <c r="E1054" s="167" t="s">
        <v>54</v>
      </c>
      <c r="F1054" s="167" t="s">
        <v>2167</v>
      </c>
      <c r="G1054" s="167" t="s">
        <v>2134</v>
      </c>
    </row>
    <row r="1055">
      <c r="A1055" s="167" t="s">
        <v>2249</v>
      </c>
      <c r="B1055" s="167" t="str">
        <f>IFERROR(__xludf.DUMMYFUNCTION("GOOGLEFINANCE(A1055,""Name"")"),"Baker Hughes Co Brazilian Depositary Receipt")</f>
        <v>Baker Hughes Co Brazilian Depositary Receipt</v>
      </c>
      <c r="C1055" s="167" t="s">
        <v>54</v>
      </c>
      <c r="D1055" s="167" t="s">
        <v>129</v>
      </c>
      <c r="E1055" s="167" t="s">
        <v>54</v>
      </c>
      <c r="F1055" s="167" t="s">
        <v>240</v>
      </c>
      <c r="G1055" s="167" t="s">
        <v>2134</v>
      </c>
    </row>
    <row r="1056">
      <c r="A1056" s="167" t="s">
        <v>2250</v>
      </c>
      <c r="B1056" s="167" t="str">
        <f>IFERROR(__xludf.DUMMYFUNCTION("GOOGLEFINANCE(A1056,""Name"")"),"Ball Corp Bdr")</f>
        <v>Ball Corp Bdr</v>
      </c>
      <c r="C1056" s="167" t="s">
        <v>54</v>
      </c>
      <c r="D1056" s="167" t="s">
        <v>268</v>
      </c>
      <c r="E1056" s="167" t="s">
        <v>54</v>
      </c>
      <c r="F1056" s="167" t="s">
        <v>240</v>
      </c>
      <c r="G1056" s="167" t="s">
        <v>2134</v>
      </c>
    </row>
    <row r="1057">
      <c r="A1057" s="167" t="s">
        <v>2251</v>
      </c>
      <c r="B1057" s="167" t="str">
        <f>IFERROR(__xludf.DUMMYFUNCTION("GOOGLEFINANCE(A1057,""Name"")"),"Banco Santander Chile Bdr")</f>
        <v>Banco Santander Chile Bdr</v>
      </c>
      <c r="C1057" s="167" t="s">
        <v>54</v>
      </c>
      <c r="D1057" s="167" t="s">
        <v>875</v>
      </c>
      <c r="E1057" s="167" t="s">
        <v>54</v>
      </c>
      <c r="F1057" s="167" t="s">
        <v>2252</v>
      </c>
      <c r="G1057" s="167" t="s">
        <v>2134</v>
      </c>
    </row>
    <row r="1058">
      <c r="A1058" s="167" t="s">
        <v>2253</v>
      </c>
      <c r="B1058" s="167" t="str">
        <f>IFERROR(__xludf.DUMMYFUNCTION("GOOGLEFINANCE(A1058,""Name"")"),"Bank Of America BDR")</f>
        <v>Bank Of America BDR</v>
      </c>
      <c r="C1058" s="167" t="s">
        <v>54</v>
      </c>
      <c r="D1058" s="167" t="s">
        <v>214</v>
      </c>
      <c r="E1058" s="167" t="s">
        <v>54</v>
      </c>
      <c r="F1058" s="167" t="s">
        <v>240</v>
      </c>
      <c r="G1058" s="167" t="s">
        <v>2134</v>
      </c>
    </row>
    <row r="1059">
      <c r="A1059" s="167" t="s">
        <v>2254</v>
      </c>
      <c r="B1059" s="167" t="str">
        <f>IFERROR(__xludf.DUMMYFUNCTION("GOOGLEFINANCE(A1059,""Name"")"),"Barclays Plc Bdr")</f>
        <v>Barclays Plc Bdr</v>
      </c>
      <c r="C1059" s="167" t="s">
        <v>54</v>
      </c>
      <c r="D1059" s="167" t="s">
        <v>875</v>
      </c>
      <c r="E1059" s="167" t="s">
        <v>54</v>
      </c>
      <c r="F1059" s="167" t="s">
        <v>2236</v>
      </c>
      <c r="G1059" s="167" t="s">
        <v>2134</v>
      </c>
    </row>
    <row r="1060">
      <c r="A1060" s="167" t="s">
        <v>2255</v>
      </c>
      <c r="B1060" s="167" t="str">
        <f>IFERROR(__xludf.DUMMYFUNCTION("GOOGLEFINANCE(A1060,""Name"")"),"Baxter International Inc Bdr")</f>
        <v>Baxter International Inc Bdr</v>
      </c>
      <c r="C1060" s="167" t="s">
        <v>54</v>
      </c>
      <c r="D1060" s="167" t="s">
        <v>245</v>
      </c>
      <c r="E1060" s="167" t="s">
        <v>54</v>
      </c>
      <c r="F1060" s="167" t="s">
        <v>240</v>
      </c>
      <c r="G1060" s="167" t="s">
        <v>2134</v>
      </c>
    </row>
    <row r="1061">
      <c r="A1061" s="167" t="s">
        <v>2256</v>
      </c>
      <c r="B1061" s="167" t="str">
        <f>IFERROR(__xludf.DUMMYFUNCTION("GOOGLEFINANCE(A1061,""Name"")"),"Truist Financial Corp Brazilian Depositary Receipt")</f>
        <v>Truist Financial Corp Brazilian Depositary Receipt</v>
      </c>
      <c r="C1061" s="167" t="s">
        <v>54</v>
      </c>
      <c r="D1061" s="167" t="s">
        <v>2257</v>
      </c>
      <c r="E1061" s="167" t="s">
        <v>54</v>
      </c>
      <c r="F1061" s="167" t="s">
        <v>240</v>
      </c>
      <c r="G1061" s="167" t="s">
        <v>2134</v>
      </c>
    </row>
    <row r="1062">
      <c r="A1062" s="167" t="s">
        <v>2258</v>
      </c>
      <c r="B1062" s="167" t="str">
        <f>IFERROR(__xludf.DUMMYFUNCTION("GOOGLEFINANCE(A1062,""Name"")"),"Becton Dickinson And Co Bdr")</f>
        <v>Becton Dickinson And Co Bdr</v>
      </c>
      <c r="C1062" s="167" t="s">
        <v>54</v>
      </c>
      <c r="D1062" s="167" t="s">
        <v>675</v>
      </c>
      <c r="E1062" s="167" t="s">
        <v>54</v>
      </c>
      <c r="F1062" s="167" t="s">
        <v>240</v>
      </c>
      <c r="G1062" s="167" t="s">
        <v>2134</v>
      </c>
    </row>
    <row r="1063">
      <c r="A1063" s="167" t="s">
        <v>2259</v>
      </c>
      <c r="B1063" s="167" t="str">
        <f>IFERROR(__xludf.DUMMYFUNCTION("GOOGLEFINANCE(A1063,""Name"")"),"#N/A")</f>
        <v>#N/A</v>
      </c>
      <c r="C1063" s="167" t="s">
        <v>54</v>
      </c>
      <c r="D1063" s="167" t="s">
        <v>2176</v>
      </c>
      <c r="E1063" s="167" t="s">
        <v>54</v>
      </c>
      <c r="F1063" s="167" t="s">
        <v>2167</v>
      </c>
      <c r="G1063" s="167" t="s">
        <v>2134</v>
      </c>
    </row>
    <row r="1064">
      <c r="A1064" s="167" t="s">
        <v>2260</v>
      </c>
      <c r="B1064" s="167" t="str">
        <f>IFERROR(__xludf.DUMMYFUNCTION("GOOGLEFINANCE(A1064,""Name"")"),"Best Buy Co Inc BDR")</f>
        <v>Best Buy Co Inc BDR</v>
      </c>
      <c r="C1064" s="167" t="s">
        <v>54</v>
      </c>
      <c r="D1064" s="167" t="s">
        <v>421</v>
      </c>
      <c r="E1064" s="167" t="s">
        <v>54</v>
      </c>
      <c r="F1064" s="167" t="s">
        <v>240</v>
      </c>
      <c r="G1064" s="167" t="s">
        <v>2134</v>
      </c>
    </row>
    <row r="1065">
      <c r="A1065" s="167" t="s">
        <v>2261</v>
      </c>
      <c r="B1065" s="167" t="str">
        <f>IFERROR(__xludf.DUMMYFUNCTION("GOOGLEFINANCE(A1065,""Name"")"),"#N/A")</f>
        <v>#N/A</v>
      </c>
      <c r="C1065" s="167" t="s">
        <v>54</v>
      </c>
      <c r="D1065" s="167" t="s">
        <v>2262</v>
      </c>
      <c r="E1065" s="167" t="s">
        <v>54</v>
      </c>
      <c r="F1065" s="167" t="s">
        <v>2238</v>
      </c>
      <c r="G1065" s="167" t="s">
        <v>2134</v>
      </c>
    </row>
    <row r="1066">
      <c r="A1066" s="167" t="s">
        <v>2263</v>
      </c>
      <c r="B1066" s="167" t="str">
        <f>IFERROR(__xludf.DUMMYFUNCTION("GOOGLEFINANCE(A1066,""Name"")"),"#N/A")</f>
        <v>#N/A</v>
      </c>
      <c r="C1066" s="167" t="s">
        <v>54</v>
      </c>
      <c r="D1066" s="167" t="s">
        <v>159</v>
      </c>
      <c r="E1066" s="167" t="s">
        <v>54</v>
      </c>
      <c r="F1066" s="167" t="s">
        <v>2264</v>
      </c>
      <c r="G1066" s="167" t="s">
        <v>2134</v>
      </c>
    </row>
    <row r="1067">
      <c r="A1067" s="167" t="s">
        <v>2265</v>
      </c>
      <c r="B1067" s="167" t="str">
        <f>IFERROR(__xludf.DUMMYFUNCTION("GOOGLEFINANCE(A1067,""Name"")"),"Banco Bilbao Vizcaya Argentaria Bdr")</f>
        <v>Banco Bilbao Vizcaya Argentaria Bdr</v>
      </c>
      <c r="C1067" s="167" t="s">
        <v>54</v>
      </c>
      <c r="D1067" s="167" t="s">
        <v>2257</v>
      </c>
      <c r="E1067" s="167" t="s">
        <v>54</v>
      </c>
      <c r="F1067" s="167" t="s">
        <v>2266</v>
      </c>
      <c r="G1067" s="167" t="s">
        <v>2134</v>
      </c>
    </row>
    <row r="1068">
      <c r="A1068" s="167" t="s">
        <v>2267</v>
      </c>
      <c r="B1068" s="167" t="str">
        <f>IFERROR(__xludf.DUMMYFUNCTION("GOOGLEFINANCE(A1068,""Name"")"),"Bilibili Inc")</f>
        <v>Bilibili Inc</v>
      </c>
      <c r="C1068" s="167" t="s">
        <v>54</v>
      </c>
      <c r="D1068" s="167" t="s">
        <v>2145</v>
      </c>
      <c r="E1068" s="167" t="s">
        <v>54</v>
      </c>
      <c r="F1068" s="167" t="s">
        <v>2167</v>
      </c>
      <c r="G1068" s="167" t="s">
        <v>2134</v>
      </c>
    </row>
    <row r="1069">
      <c r="A1069" s="167" t="s">
        <v>2268</v>
      </c>
      <c r="B1069" s="167" t="str">
        <f>IFERROR(__xludf.DUMMYFUNCTION("GOOGLEFINANCE(A1069,""Name"")"),"Biogen Inc BDR")</f>
        <v>Biogen Inc BDR</v>
      </c>
      <c r="C1069" s="167" t="s">
        <v>54</v>
      </c>
      <c r="D1069" s="167" t="s">
        <v>245</v>
      </c>
      <c r="E1069" s="167" t="s">
        <v>54</v>
      </c>
      <c r="F1069" s="167" t="s">
        <v>240</v>
      </c>
      <c r="G1069" s="167" t="s">
        <v>2134</v>
      </c>
    </row>
    <row r="1070">
      <c r="A1070" s="167" t="s">
        <v>2269</v>
      </c>
      <c r="B1070" s="167" t="str">
        <f>IFERROR(__xludf.DUMMYFUNCTION("GOOGLEFINANCE(A1070,""Name"")"),"Biomarin Pharmaceutical Inc Bdr")</f>
        <v>Biomarin Pharmaceutical Inc Bdr</v>
      </c>
      <c r="C1070" s="167" t="s">
        <v>54</v>
      </c>
      <c r="D1070" s="167" t="s">
        <v>2200</v>
      </c>
      <c r="E1070" s="167" t="s">
        <v>54</v>
      </c>
      <c r="F1070" s="167" t="s">
        <v>240</v>
      </c>
      <c r="G1070" s="167" t="s">
        <v>2134</v>
      </c>
    </row>
    <row r="1071">
      <c r="A1071" s="167" t="s">
        <v>2270</v>
      </c>
      <c r="B1071" s="167" t="str">
        <f>IFERROR(__xludf.DUMMYFUNCTION("GOOGLEFINANCE(A1071,""Name"")"),"Biontech Se Bdr")</f>
        <v>Biontech Se Bdr</v>
      </c>
      <c r="C1071" s="167" t="s">
        <v>54</v>
      </c>
      <c r="D1071" s="167" t="s">
        <v>2176</v>
      </c>
      <c r="E1071" s="167" t="s">
        <v>54</v>
      </c>
      <c r="F1071" s="167" t="s">
        <v>2271</v>
      </c>
      <c r="G1071" s="167" t="s">
        <v>2134</v>
      </c>
    </row>
    <row r="1072">
      <c r="A1072" s="167" t="s">
        <v>2272</v>
      </c>
      <c r="B1072" s="167" t="str">
        <f>IFERROR(__xludf.DUMMYFUNCTION("GOOGLEFINANCE(A1072,""Name"")"),"Bio Techne Corporation Bdr")</f>
        <v>Bio Techne Corporation Bdr</v>
      </c>
      <c r="C1072" s="167" t="s">
        <v>54</v>
      </c>
      <c r="D1072" s="167" t="s">
        <v>2176</v>
      </c>
      <c r="E1072" s="167" t="s">
        <v>54</v>
      </c>
      <c r="F1072" s="167" t="s">
        <v>240</v>
      </c>
      <c r="G1072" s="167" t="s">
        <v>2134</v>
      </c>
    </row>
    <row r="1073">
      <c r="A1073" s="167" t="s">
        <v>2273</v>
      </c>
      <c r="B1073" s="167" t="str">
        <f>IFERROR(__xludf.DUMMYFUNCTION("GOOGLEFINANCE(A1073,""Name"")"),"Blackrock Inc BDR")</f>
        <v>Blackrock Inc BDR</v>
      </c>
      <c r="C1073" s="167" t="s">
        <v>54</v>
      </c>
      <c r="D1073" s="167" t="s">
        <v>946</v>
      </c>
      <c r="E1073" s="167" t="s">
        <v>54</v>
      </c>
      <c r="F1073" s="167" t="s">
        <v>240</v>
      </c>
      <c r="G1073" s="167" t="s">
        <v>2134</v>
      </c>
    </row>
    <row r="1074">
      <c r="A1074" s="167" t="s">
        <v>2274</v>
      </c>
      <c r="B1074" s="167" t="str">
        <f>IFERROR(__xludf.DUMMYFUNCTION("GOOGLEFINANCE(A1074,""Name"")"),"Booking Holdings Inc Bdr")</f>
        <v>Booking Holdings Inc Bdr</v>
      </c>
      <c r="C1074" s="167" t="s">
        <v>54</v>
      </c>
      <c r="D1074" s="167" t="s">
        <v>2186</v>
      </c>
      <c r="E1074" s="167" t="s">
        <v>54</v>
      </c>
      <c r="F1074" s="167" t="s">
        <v>240</v>
      </c>
      <c r="G1074" s="167" t="s">
        <v>2134</v>
      </c>
    </row>
    <row r="1075">
      <c r="A1075" s="167" t="s">
        <v>2275</v>
      </c>
      <c r="B1075" s="167" t="str">
        <f>IFERROR(__xludf.DUMMYFUNCTION("GOOGLEFINANCE(A1075,""Name"")"),"Borgwarner Inc Bdr")</f>
        <v>Borgwarner Inc Bdr</v>
      </c>
      <c r="C1075" s="167" t="s">
        <v>54</v>
      </c>
      <c r="D1075" s="167" t="s">
        <v>2276</v>
      </c>
      <c r="E1075" s="167" t="s">
        <v>54</v>
      </c>
      <c r="F1075" s="167" t="s">
        <v>240</v>
      </c>
      <c r="G1075" s="167" t="s">
        <v>2134</v>
      </c>
    </row>
    <row r="1076">
      <c r="A1076" s="167" t="s">
        <v>2277</v>
      </c>
      <c r="B1076" s="167" t="str">
        <f>IFERROR(__xludf.DUMMYFUNCTION("GOOGLEFINANCE(A1076,""Name"")"),"Bxp Inc Bdr")</f>
        <v>Bxp Inc Bdr</v>
      </c>
      <c r="C1076" s="167" t="s">
        <v>54</v>
      </c>
      <c r="D1076" s="167" t="s">
        <v>2278</v>
      </c>
      <c r="E1076" s="167" t="s">
        <v>54</v>
      </c>
      <c r="F1076" s="167" t="s">
        <v>240</v>
      </c>
      <c r="G1076" s="167" t="s">
        <v>2134</v>
      </c>
    </row>
    <row r="1077">
      <c r="A1077" s="167" t="s">
        <v>2279</v>
      </c>
      <c r="B1077" s="167" t="str">
        <f>IFERROR(__xludf.DUMMYFUNCTION("GOOGLEFINANCE(A1077,""Name"")"),"Boston Scientific Corp Brazilian Depositary Receipt")</f>
        <v>Boston Scientific Corp Brazilian Depositary Receipt</v>
      </c>
      <c r="C1077" s="167" t="s">
        <v>54</v>
      </c>
      <c r="D1077" s="167" t="s">
        <v>2280</v>
      </c>
      <c r="E1077" s="167" t="s">
        <v>54</v>
      </c>
      <c r="F1077" s="167" t="s">
        <v>240</v>
      </c>
      <c r="G1077" s="167" t="s">
        <v>2134</v>
      </c>
    </row>
    <row r="1078">
      <c r="A1078" s="167" t="s">
        <v>2281</v>
      </c>
      <c r="B1078" s="167" t="str">
        <f>IFERROR(__xludf.DUMMYFUNCTION("GOOGLEFINANCE(A1078,""Name"")"),"Bp Plc Bdr")</f>
        <v>Bp Plc Bdr</v>
      </c>
      <c r="C1078" s="167" t="s">
        <v>54</v>
      </c>
      <c r="D1078" s="167" t="s">
        <v>2153</v>
      </c>
      <c r="E1078" s="167" t="s">
        <v>54</v>
      </c>
      <c r="F1078" s="167" t="s">
        <v>2236</v>
      </c>
      <c r="G1078" s="167" t="s">
        <v>2134</v>
      </c>
    </row>
    <row r="1079">
      <c r="A1079" s="167" t="s">
        <v>2282</v>
      </c>
      <c r="B1079" s="167" t="str">
        <f>IFERROR(__xludf.DUMMYFUNCTION("GOOGLEFINANCE(A1079,""Name"")"),"British American Tobacco Plc Bdr")</f>
        <v>British American Tobacco Plc Bdr</v>
      </c>
      <c r="C1079" s="167" t="s">
        <v>54</v>
      </c>
      <c r="D1079" s="167" t="s">
        <v>2283</v>
      </c>
      <c r="E1079" s="167" t="s">
        <v>54</v>
      </c>
      <c r="F1079" s="167" t="s">
        <v>2236</v>
      </c>
      <c r="G1079" s="167" t="s">
        <v>2134</v>
      </c>
    </row>
    <row r="1080">
      <c r="A1080" s="167" t="s">
        <v>2284</v>
      </c>
      <c r="B1080" s="167" t="str">
        <f>IFERROR(__xludf.DUMMYFUNCTION("GOOGLEFINANCE(A1080,""Name"")"),"Broadcom Inc Bdr")</f>
        <v>Broadcom Inc Bdr</v>
      </c>
      <c r="C1080" s="167" t="s">
        <v>54</v>
      </c>
      <c r="D1080" s="167" t="s">
        <v>2145</v>
      </c>
      <c r="E1080" s="167" t="s">
        <v>54</v>
      </c>
      <c r="F1080" s="167" t="s">
        <v>240</v>
      </c>
      <c r="G1080" s="167" t="s">
        <v>2134</v>
      </c>
    </row>
    <row r="1081">
      <c r="A1081" s="167" t="s">
        <v>2285</v>
      </c>
      <c r="B1081" s="167" t="str">
        <f>IFERROR(__xludf.DUMMYFUNCTION("GOOGLEFINANCE(A1081,""Name"")"),"Broadridge Financial Solutions Inc Bdr")</f>
        <v>Broadridge Financial Solutions Inc Bdr</v>
      </c>
      <c r="C1081" s="167" t="s">
        <v>54</v>
      </c>
      <c r="D1081" s="167" t="s">
        <v>2145</v>
      </c>
      <c r="E1081" s="167" t="s">
        <v>54</v>
      </c>
      <c r="F1081" s="167" t="s">
        <v>240</v>
      </c>
      <c r="G1081" s="167" t="s">
        <v>2134</v>
      </c>
    </row>
    <row r="1082">
      <c r="A1082" s="167" t="s">
        <v>2286</v>
      </c>
      <c r="B1082" s="167" t="str">
        <f>IFERROR(__xludf.DUMMYFUNCTION("GOOGLEFINANCE(A1082,""Name"")"),"Brookfield Asset Management Inc Bdr")</f>
        <v>Brookfield Asset Management Inc Bdr</v>
      </c>
      <c r="C1082" s="167" t="s">
        <v>54</v>
      </c>
      <c r="D1082" s="167" t="s">
        <v>875</v>
      </c>
      <c r="E1082" s="167" t="s">
        <v>54</v>
      </c>
      <c r="F1082" s="167" t="s">
        <v>2287</v>
      </c>
      <c r="G1082" s="167" t="s">
        <v>2134</v>
      </c>
    </row>
    <row r="1083">
      <c r="A1083" s="167" t="s">
        <v>2288</v>
      </c>
      <c r="B1083" s="167" t="str">
        <f>IFERROR(__xludf.DUMMYFUNCTION("GOOGLEFINANCE(A1083,""Name"")"),"Brown Forman Corp Bdr")</f>
        <v>Brown Forman Corp Bdr</v>
      </c>
      <c r="C1083" s="167" t="s">
        <v>54</v>
      </c>
      <c r="D1083" s="167" t="s">
        <v>465</v>
      </c>
      <c r="E1083" s="167" t="s">
        <v>54</v>
      </c>
      <c r="F1083" s="167" t="s">
        <v>240</v>
      </c>
      <c r="G1083" s="167" t="s">
        <v>2134</v>
      </c>
    </row>
    <row r="1084">
      <c r="A1084" s="167" t="s">
        <v>2289</v>
      </c>
      <c r="B1084" s="167" t="str">
        <f>IFERROR(__xludf.DUMMYFUNCTION("GOOGLEFINANCE(A1084,""Name"")"),"Cable One Inc Bdr")</f>
        <v>Cable One Inc Bdr</v>
      </c>
      <c r="C1084" s="167" t="s">
        <v>54</v>
      </c>
      <c r="D1084" s="167" t="s">
        <v>2186</v>
      </c>
      <c r="E1084" s="167" t="s">
        <v>54</v>
      </c>
      <c r="F1084" s="167" t="s">
        <v>240</v>
      </c>
      <c r="G1084" s="167" t="s">
        <v>2134</v>
      </c>
    </row>
    <row r="1085">
      <c r="A1085" s="167" t="s">
        <v>2290</v>
      </c>
      <c r="B1085" s="167" t="str">
        <f>IFERROR(__xludf.DUMMYFUNCTION("GOOGLEFINANCE(A1085,""Name"")"),"#N/A")</f>
        <v>#N/A</v>
      </c>
      <c r="C1085" s="167" t="s">
        <v>54</v>
      </c>
      <c r="D1085" s="167" t="s">
        <v>129</v>
      </c>
      <c r="E1085" s="167" t="s">
        <v>54</v>
      </c>
      <c r="F1085" s="167" t="s">
        <v>240</v>
      </c>
      <c r="G1085" s="167" t="s">
        <v>2134</v>
      </c>
    </row>
    <row r="1086">
      <c r="A1086" s="167" t="s">
        <v>2291</v>
      </c>
      <c r="B1086" s="167" t="str">
        <f>IFERROR(__xludf.DUMMYFUNCTION("GOOGLEFINANCE(A1086,""Name"")"),"Cadence Design Systems Inc Bdr")</f>
        <v>Cadence Design Systems Inc Bdr</v>
      </c>
      <c r="C1086" s="167" t="s">
        <v>54</v>
      </c>
      <c r="D1086" s="167" t="s">
        <v>2145</v>
      </c>
      <c r="E1086" s="167" t="s">
        <v>54</v>
      </c>
      <c r="F1086" s="167" t="s">
        <v>240</v>
      </c>
      <c r="G1086" s="167" t="s">
        <v>2134</v>
      </c>
    </row>
    <row r="1087">
      <c r="A1087" s="167" t="s">
        <v>2292</v>
      </c>
      <c r="B1087" s="167" t="str">
        <f>IFERROR(__xludf.DUMMYFUNCTION("GOOGLEFINANCE(A1087,""Name"")"),"Campbell Soup Co Bdr")</f>
        <v>Campbell Soup Co Bdr</v>
      </c>
      <c r="C1087" s="167" t="s">
        <v>54</v>
      </c>
      <c r="D1087" s="167" t="s">
        <v>476</v>
      </c>
      <c r="E1087" s="167" t="s">
        <v>54</v>
      </c>
      <c r="F1087" s="167" t="s">
        <v>240</v>
      </c>
      <c r="G1087" s="167" t="s">
        <v>2134</v>
      </c>
    </row>
    <row r="1088">
      <c r="A1088" s="167" t="s">
        <v>2293</v>
      </c>
      <c r="B1088" s="167" t="str">
        <f>IFERROR(__xludf.DUMMYFUNCTION("GOOGLEFINANCE(A1088,""Name"")"),"Canadian National Railway Co BDR")</f>
        <v>Canadian National Railway Co BDR</v>
      </c>
      <c r="C1088" s="167" t="s">
        <v>54</v>
      </c>
      <c r="D1088" s="167" t="s">
        <v>2138</v>
      </c>
      <c r="E1088" s="167" t="s">
        <v>54</v>
      </c>
      <c r="F1088" s="167" t="s">
        <v>2287</v>
      </c>
      <c r="G1088" s="167" t="s">
        <v>2134</v>
      </c>
    </row>
    <row r="1089">
      <c r="A1089" s="167" t="s">
        <v>2294</v>
      </c>
      <c r="B1089" s="167" t="str">
        <f>IFERROR(__xludf.DUMMYFUNCTION("GOOGLEFINANCE(A1089,""Name"")"),"Canadian Pacific Kansas City Ltd BDR")</f>
        <v>Canadian Pacific Kansas City Ltd BDR</v>
      </c>
      <c r="C1089" s="167" t="s">
        <v>54</v>
      </c>
      <c r="D1089" s="167" t="s">
        <v>2138</v>
      </c>
      <c r="E1089" s="167" t="s">
        <v>54</v>
      </c>
      <c r="F1089" s="167" t="s">
        <v>2287</v>
      </c>
      <c r="G1089" s="167" t="s">
        <v>2134</v>
      </c>
    </row>
    <row r="1090">
      <c r="A1090" s="167" t="s">
        <v>2295</v>
      </c>
      <c r="B1090" s="167" t="str">
        <f>IFERROR(__xludf.DUMMYFUNCTION("GOOGLEFINANCE(A1090,""Name"")"),"#N/A")</f>
        <v>#N/A</v>
      </c>
      <c r="C1090" s="167" t="s">
        <v>54</v>
      </c>
      <c r="D1090" s="167" t="s">
        <v>2296</v>
      </c>
      <c r="E1090" s="167" t="s">
        <v>54</v>
      </c>
      <c r="F1090" s="167" t="s">
        <v>2297</v>
      </c>
      <c r="G1090" s="167" t="s">
        <v>2134</v>
      </c>
    </row>
    <row r="1091">
      <c r="A1091" s="167" t="s">
        <v>2298</v>
      </c>
      <c r="B1091" s="167" t="str">
        <f>IFERROR(__xludf.DUMMYFUNCTION("GOOGLEFINANCE(A1091,""Name"")"),"Capital One Financial Corp BDR")</f>
        <v>Capital One Financial Corp BDR</v>
      </c>
      <c r="C1091" s="167" t="s">
        <v>54</v>
      </c>
      <c r="D1091" s="167" t="s">
        <v>2194</v>
      </c>
      <c r="E1091" s="167" t="s">
        <v>54</v>
      </c>
      <c r="F1091" s="167" t="s">
        <v>240</v>
      </c>
      <c r="G1091" s="167" t="s">
        <v>2134</v>
      </c>
    </row>
    <row r="1092">
      <c r="A1092" s="167" t="s">
        <v>2299</v>
      </c>
      <c r="B1092" s="167" t="str">
        <f>IFERROR(__xludf.DUMMYFUNCTION("GOOGLEFINANCE(A1092,""Name"")"),"Capri Holdings Ltd BDR")</f>
        <v>Capri Holdings Ltd BDR</v>
      </c>
      <c r="C1092" s="167" t="s">
        <v>54</v>
      </c>
      <c r="D1092" s="167" t="s">
        <v>2218</v>
      </c>
      <c r="E1092" s="167" t="s">
        <v>54</v>
      </c>
      <c r="F1092" s="167" t="s">
        <v>2183</v>
      </c>
      <c r="G1092" s="167" t="s">
        <v>2134</v>
      </c>
    </row>
    <row r="1093">
      <c r="A1093" s="167" t="s">
        <v>2300</v>
      </c>
      <c r="B1093" s="167" t="str">
        <f>IFERROR(__xludf.DUMMYFUNCTION("GOOGLEFINANCE(A1093,""Name"")"),"Cardinal Health Inc Brazilian Depositary Receipt")</f>
        <v>Cardinal Health Inc Brazilian Depositary Receipt</v>
      </c>
      <c r="C1093" s="167" t="s">
        <v>54</v>
      </c>
      <c r="D1093" s="167" t="s">
        <v>675</v>
      </c>
      <c r="E1093" s="167" t="s">
        <v>54</v>
      </c>
      <c r="F1093" s="167" t="s">
        <v>240</v>
      </c>
      <c r="G1093" s="167" t="s">
        <v>2134</v>
      </c>
    </row>
    <row r="1094">
      <c r="A1094" s="167" t="s">
        <v>2301</v>
      </c>
      <c r="B1094" s="167" t="str">
        <f>IFERROR(__xludf.DUMMYFUNCTION("GOOGLEFINANCE(A1094,""Name"")"),"Carmax Inc Bdr")</f>
        <v>Carmax Inc Bdr</v>
      </c>
      <c r="C1094" s="167" t="s">
        <v>54</v>
      </c>
      <c r="D1094" s="167" t="s">
        <v>2302</v>
      </c>
      <c r="E1094" s="167" t="s">
        <v>54</v>
      </c>
      <c r="F1094" s="167" t="s">
        <v>240</v>
      </c>
      <c r="G1094" s="167" t="s">
        <v>2134</v>
      </c>
    </row>
    <row r="1095">
      <c r="A1095" s="167" t="s">
        <v>2303</v>
      </c>
      <c r="B1095" s="167" t="str">
        <f>IFERROR(__xludf.DUMMYFUNCTION("GOOGLEFINANCE(A1095,""Name"")"),"Carnival Corp Brazilian Depositary Receipt")</f>
        <v>Carnival Corp Brazilian Depositary Receipt</v>
      </c>
      <c r="C1095" s="167" t="s">
        <v>54</v>
      </c>
      <c r="D1095" s="167" t="s">
        <v>2304</v>
      </c>
      <c r="E1095" s="167" t="s">
        <v>54</v>
      </c>
      <c r="F1095" s="167" t="s">
        <v>240</v>
      </c>
      <c r="G1095" s="167" t="s">
        <v>2134</v>
      </c>
    </row>
    <row r="1096">
      <c r="A1096" s="167" t="s">
        <v>2305</v>
      </c>
      <c r="B1096" s="167" t="str">
        <f>IFERROR(__xludf.DUMMYFUNCTION("GOOGLEFINANCE(A1096,""Name"")"),"Carrier Global Corporation Bdr")</f>
        <v>Carrier Global Corporation Bdr</v>
      </c>
      <c r="C1096" s="167" t="s">
        <v>54</v>
      </c>
      <c r="D1096" s="167" t="s">
        <v>2138</v>
      </c>
      <c r="E1096" s="167" t="s">
        <v>54</v>
      </c>
      <c r="F1096" s="167" t="s">
        <v>240</v>
      </c>
      <c r="G1096" s="167" t="s">
        <v>2134</v>
      </c>
    </row>
    <row r="1097">
      <c r="A1097" s="167" t="s">
        <v>2306</v>
      </c>
      <c r="B1097" s="167" t="str">
        <f>IFERROR(__xludf.DUMMYFUNCTION("GOOGLEFINANCE(A1097,""Name"")"),"Carters Inc BDR")</f>
        <v>Carters Inc BDR</v>
      </c>
      <c r="C1097" s="167" t="s">
        <v>54</v>
      </c>
      <c r="D1097" s="167" t="s">
        <v>2307</v>
      </c>
      <c r="E1097" s="167" t="s">
        <v>54</v>
      </c>
      <c r="F1097" s="167" t="s">
        <v>240</v>
      </c>
      <c r="G1097" s="167" t="s">
        <v>2134</v>
      </c>
    </row>
    <row r="1098">
      <c r="A1098" s="167" t="s">
        <v>2308</v>
      </c>
      <c r="B1098" s="167" t="str">
        <f>IFERROR(__xludf.DUMMYFUNCTION("GOOGLEFINANCE(A1098,""Name"")"),"Cboe Global Markets Inc Bdr")</f>
        <v>Cboe Global Markets Inc Bdr</v>
      </c>
      <c r="C1098" s="167" t="s">
        <v>54</v>
      </c>
      <c r="D1098" s="167" t="s">
        <v>2194</v>
      </c>
      <c r="E1098" s="167" t="s">
        <v>54</v>
      </c>
      <c r="F1098" s="167" t="s">
        <v>240</v>
      </c>
      <c r="G1098" s="167" t="s">
        <v>2134</v>
      </c>
    </row>
    <row r="1099">
      <c r="A1099" s="167" t="s">
        <v>2309</v>
      </c>
      <c r="B1099" s="167" t="str">
        <f>IFERROR(__xludf.DUMMYFUNCTION("GOOGLEFINANCE(A1099,""Name"")"),"Cbre Group Inc Bdr")</f>
        <v>Cbre Group Inc Bdr</v>
      </c>
      <c r="C1099" s="167" t="s">
        <v>54</v>
      </c>
      <c r="D1099" s="167" t="s">
        <v>2278</v>
      </c>
      <c r="E1099" s="167" t="s">
        <v>54</v>
      </c>
      <c r="F1099" s="167" t="s">
        <v>240</v>
      </c>
      <c r="G1099" s="167" t="s">
        <v>2134</v>
      </c>
    </row>
    <row r="1100">
      <c r="A1100" s="167" t="s">
        <v>2310</v>
      </c>
      <c r="B1100" s="167" t="str">
        <f>IFERROR(__xludf.DUMMYFUNCTION("GOOGLEFINANCE(A1100,""Name"")"),"#N/A")</f>
        <v>#N/A</v>
      </c>
      <c r="C1100" s="167" t="s">
        <v>54</v>
      </c>
      <c r="D1100" s="167" t="s">
        <v>733</v>
      </c>
      <c r="E1100" s="167" t="s">
        <v>54</v>
      </c>
      <c r="F1100" s="167" t="s">
        <v>240</v>
      </c>
      <c r="G1100" s="167" t="s">
        <v>2134</v>
      </c>
    </row>
    <row r="1101">
      <c r="A1101" s="167" t="s">
        <v>2311</v>
      </c>
      <c r="B1101" s="167" t="str">
        <f>IFERROR(__xludf.DUMMYFUNCTION("GOOGLEFINANCE(A1101,""Name"")"),"Cdw Corporation Bdr")</f>
        <v>Cdw Corporation Bdr</v>
      </c>
      <c r="C1101" s="167" t="s">
        <v>54</v>
      </c>
      <c r="D1101" s="167" t="s">
        <v>2186</v>
      </c>
      <c r="E1101" s="167" t="s">
        <v>54</v>
      </c>
      <c r="F1101" s="167" t="s">
        <v>240</v>
      </c>
      <c r="G1101" s="167" t="s">
        <v>2134</v>
      </c>
    </row>
    <row r="1102">
      <c r="A1102" s="167" t="s">
        <v>2312</v>
      </c>
      <c r="B1102" s="167" t="str">
        <f>IFERROR(__xludf.DUMMYFUNCTION("GOOGLEFINANCE(A1102,""Name"")"),"Celanese Corp Bdr")</f>
        <v>Celanese Corp Bdr</v>
      </c>
      <c r="C1102" s="167" t="s">
        <v>54</v>
      </c>
      <c r="D1102" s="167" t="s">
        <v>2145</v>
      </c>
      <c r="E1102" s="167" t="s">
        <v>54</v>
      </c>
      <c r="F1102" s="167" t="s">
        <v>240</v>
      </c>
      <c r="G1102" s="167" t="s">
        <v>2134</v>
      </c>
    </row>
    <row r="1103">
      <c r="A1103" s="167" t="s">
        <v>2313</v>
      </c>
      <c r="B1103" s="167" t="str">
        <f>IFERROR(__xludf.DUMMYFUNCTION("GOOGLEFINANCE(A1103,""Name"")"),"Centene Corp Brazilian Depositary Receipt")</f>
        <v>Centene Corp Brazilian Depositary Receipt</v>
      </c>
      <c r="C1103" s="167" t="s">
        <v>54</v>
      </c>
      <c r="D1103" s="167" t="s">
        <v>675</v>
      </c>
      <c r="E1103" s="167" t="s">
        <v>54</v>
      </c>
      <c r="F1103" s="167" t="s">
        <v>240</v>
      </c>
      <c r="G1103" s="167" t="s">
        <v>2134</v>
      </c>
    </row>
    <row r="1104">
      <c r="A1104" s="167" t="s">
        <v>2314</v>
      </c>
      <c r="B1104" s="167" t="str">
        <f>IFERROR(__xludf.DUMMYFUNCTION("GOOGLEFINANCE(A1104,""Name"")"),"Centerpoint Energy Inc Brazilian Depositary Receipt")</f>
        <v>Centerpoint Energy Inc Brazilian Depositary Receipt</v>
      </c>
      <c r="C1104" s="167" t="s">
        <v>54</v>
      </c>
      <c r="D1104" s="167" t="s">
        <v>2153</v>
      </c>
      <c r="E1104" s="167" t="s">
        <v>54</v>
      </c>
      <c r="F1104" s="167" t="s">
        <v>240</v>
      </c>
      <c r="G1104" s="167" t="s">
        <v>2134</v>
      </c>
    </row>
    <row r="1105">
      <c r="A1105" s="167" t="s">
        <v>2315</v>
      </c>
      <c r="B1105" s="167" t="str">
        <f>IFERROR(__xludf.DUMMYFUNCTION("GOOGLEFINANCE(A1105,""Name"")"),"#N/A")</f>
        <v>#N/A</v>
      </c>
      <c r="C1105" s="167" t="s">
        <v>54</v>
      </c>
      <c r="D1105" s="167" t="s">
        <v>2145</v>
      </c>
      <c r="E1105" s="167" t="s">
        <v>54</v>
      </c>
      <c r="F1105" s="167" t="s">
        <v>240</v>
      </c>
      <c r="G1105" s="167" t="s">
        <v>2134</v>
      </c>
    </row>
    <row r="1106">
      <c r="A1106" s="167" t="s">
        <v>2316</v>
      </c>
      <c r="B1106" s="167" t="str">
        <f>IFERROR(__xludf.DUMMYFUNCTION("GOOGLEFINANCE(A1106,""Name"")"),"Cf Industries Holdings Inc Brazilian Depositary Receipt")</f>
        <v>Cf Industries Holdings Inc Brazilian Depositary Receipt</v>
      </c>
      <c r="C1106" s="167" t="s">
        <v>54</v>
      </c>
      <c r="D1106" s="167" t="s">
        <v>2317</v>
      </c>
      <c r="E1106" s="167" t="s">
        <v>54</v>
      </c>
      <c r="F1106" s="167" t="s">
        <v>240</v>
      </c>
      <c r="G1106" s="167" t="s">
        <v>2134</v>
      </c>
    </row>
    <row r="1107">
      <c r="A1107" s="167" t="s">
        <v>2318</v>
      </c>
      <c r="B1107" s="167" t="str">
        <f>IFERROR(__xludf.DUMMYFUNCTION("GOOGLEFINANCE(A1107,""Name"")"),"Ch Robinson Worldwide Inc Bdr")</f>
        <v>Ch Robinson Worldwide Inc Bdr</v>
      </c>
      <c r="C1107" s="167" t="s">
        <v>54</v>
      </c>
      <c r="D1107" s="167" t="s">
        <v>1064</v>
      </c>
      <c r="E1107" s="167" t="s">
        <v>54</v>
      </c>
      <c r="F1107" s="167" t="s">
        <v>240</v>
      </c>
      <c r="G1107" s="167" t="s">
        <v>2134</v>
      </c>
    </row>
    <row r="1108">
      <c r="A1108" s="167" t="s">
        <v>2319</v>
      </c>
      <c r="B1108" s="167" t="str">
        <f>IFERROR(__xludf.DUMMYFUNCTION("GOOGLEFINANCE(A1108,""Name"")"),"Charter Communications Inc BDR")</f>
        <v>Charter Communications Inc BDR</v>
      </c>
      <c r="C1108" s="167" t="s">
        <v>54</v>
      </c>
      <c r="D1108" s="167" t="s">
        <v>2186</v>
      </c>
      <c r="E1108" s="167" t="s">
        <v>54</v>
      </c>
      <c r="F1108" s="167" t="s">
        <v>240</v>
      </c>
      <c r="G1108" s="167" t="s">
        <v>2134</v>
      </c>
    </row>
    <row r="1109">
      <c r="A1109" s="167" t="s">
        <v>2320</v>
      </c>
      <c r="B1109" s="167" t="str">
        <f>IFERROR(__xludf.DUMMYFUNCTION("GOOGLEFINANCE(A1109,""Name"")"),"Check Point Software Technologies Ltd Bdr")</f>
        <v>Check Point Software Technologies Ltd Bdr</v>
      </c>
      <c r="C1109" s="167" t="s">
        <v>54</v>
      </c>
      <c r="D1109" s="167" t="s">
        <v>2145</v>
      </c>
      <c r="E1109" s="167" t="s">
        <v>54</v>
      </c>
      <c r="F1109" s="167" t="s">
        <v>240</v>
      </c>
      <c r="G1109" s="167" t="s">
        <v>2134</v>
      </c>
    </row>
    <row r="1110">
      <c r="A1110" s="167" t="s">
        <v>2321</v>
      </c>
      <c r="B1110" s="167" t="str">
        <f>IFERROR(__xludf.DUMMYFUNCTION("GOOGLEFINANCE(A1110,""Name"")"),"#N/A")</f>
        <v>#N/A</v>
      </c>
      <c r="C1110" s="167" t="s">
        <v>54</v>
      </c>
      <c r="D1110" s="167" t="s">
        <v>875</v>
      </c>
      <c r="E1110" s="167" t="s">
        <v>54</v>
      </c>
      <c r="F1110" s="167" t="s">
        <v>2167</v>
      </c>
      <c r="G1110" s="167" t="s">
        <v>2134</v>
      </c>
    </row>
    <row r="1111">
      <c r="A1111" s="167" t="s">
        <v>2322</v>
      </c>
      <c r="B1111" s="167" t="str">
        <f>IFERROR(__xludf.DUMMYFUNCTION("GOOGLEFINANCE(A1111,""Name"")"),"#N/A")</f>
        <v>#N/A</v>
      </c>
      <c r="C1111" s="167" t="s">
        <v>54</v>
      </c>
      <c r="D1111" s="167" t="s">
        <v>2186</v>
      </c>
      <c r="E1111" s="167" t="s">
        <v>54</v>
      </c>
      <c r="F1111" s="167" t="s">
        <v>2323</v>
      </c>
      <c r="G1111" s="167" t="s">
        <v>2134</v>
      </c>
    </row>
    <row r="1112">
      <c r="A1112" s="167" t="s">
        <v>2324</v>
      </c>
      <c r="B1112" s="167" t="str">
        <f>IFERROR(__xludf.DUMMYFUNCTION("GOOGLEFINANCE(A1112,""Name"")"),"#N/A")</f>
        <v>#N/A</v>
      </c>
      <c r="C1112" s="167" t="s">
        <v>54</v>
      </c>
      <c r="D1112" s="167" t="s">
        <v>2153</v>
      </c>
      <c r="E1112" s="167" t="s">
        <v>54</v>
      </c>
      <c r="F1112" s="167" t="s">
        <v>2167</v>
      </c>
      <c r="G1112" s="167" t="s">
        <v>2134</v>
      </c>
    </row>
    <row r="1113">
      <c r="A1113" s="167" t="s">
        <v>2325</v>
      </c>
      <c r="B1113" s="167" t="str">
        <f>IFERROR(__xludf.DUMMYFUNCTION("GOOGLEFINANCE(A1113,""Name"")"),"Chipotle Mexican Grill Inc Bdr")</f>
        <v>Chipotle Mexican Grill Inc Bdr</v>
      </c>
      <c r="C1113" s="167" t="s">
        <v>54</v>
      </c>
      <c r="D1113" s="167" t="s">
        <v>2326</v>
      </c>
      <c r="E1113" s="167" t="s">
        <v>54</v>
      </c>
      <c r="F1113" s="167" t="s">
        <v>240</v>
      </c>
      <c r="G1113" s="167" t="s">
        <v>2134</v>
      </c>
    </row>
    <row r="1114">
      <c r="A1114" s="167" t="s">
        <v>2327</v>
      </c>
      <c r="B1114" s="167" t="str">
        <f>IFERROR(__xludf.DUMMYFUNCTION("GOOGLEFINANCE(A1114,""Name"")"),"Chubb Ltd Bdr")</f>
        <v>Chubb Ltd Bdr</v>
      </c>
      <c r="C1114" s="167" t="s">
        <v>54</v>
      </c>
      <c r="D1114" s="167" t="s">
        <v>2155</v>
      </c>
      <c r="E1114" s="167" t="s">
        <v>54</v>
      </c>
      <c r="F1114" s="167" t="s">
        <v>240</v>
      </c>
      <c r="G1114" s="167" t="s">
        <v>2134</v>
      </c>
    </row>
    <row r="1115">
      <c r="A1115" s="167" t="s">
        <v>2328</v>
      </c>
      <c r="B1115" s="167" t="str">
        <f>IFERROR(__xludf.DUMMYFUNCTION("GOOGLEFINANCE(A1115,""Name"")"),"Chunghwa Telecom Co Ltd")</f>
        <v>Chunghwa Telecom Co Ltd</v>
      </c>
      <c r="C1115" s="167" t="s">
        <v>54</v>
      </c>
      <c r="D1115" s="167" t="s">
        <v>2186</v>
      </c>
      <c r="E1115" s="167" t="s">
        <v>54</v>
      </c>
      <c r="F1115" s="167" t="s">
        <v>2329</v>
      </c>
      <c r="G1115" s="167" t="s">
        <v>2134</v>
      </c>
    </row>
    <row r="1116">
      <c r="A1116" s="167" t="s">
        <v>2330</v>
      </c>
      <c r="B1116" s="167" t="str">
        <f>IFERROR(__xludf.DUMMYFUNCTION("GOOGLEFINANCE(A1116,""Name"")"),"Church &amp; Dwight Co Inc BDR")</f>
        <v>Church &amp; Dwight Co Inc BDR</v>
      </c>
      <c r="C1116" s="167" t="s">
        <v>54</v>
      </c>
      <c r="D1116" s="167" t="s">
        <v>2331</v>
      </c>
      <c r="E1116" s="167" t="s">
        <v>54</v>
      </c>
      <c r="F1116" s="167" t="s">
        <v>240</v>
      </c>
      <c r="G1116" s="167" t="s">
        <v>2134</v>
      </c>
    </row>
    <row r="1117">
      <c r="A1117" s="167" t="s">
        <v>2332</v>
      </c>
      <c r="B1117" s="167" t="str">
        <f>IFERROR(__xludf.DUMMYFUNCTION("GOOGLEFINANCE(A1117,""Name"")"),"The Cigna Group Bdr")</f>
        <v>The Cigna Group Bdr</v>
      </c>
      <c r="C1117" s="167" t="s">
        <v>54</v>
      </c>
      <c r="D1117" s="167" t="s">
        <v>675</v>
      </c>
      <c r="E1117" s="167" t="s">
        <v>54</v>
      </c>
      <c r="F1117" s="167" t="s">
        <v>240</v>
      </c>
      <c r="G1117" s="167" t="s">
        <v>2134</v>
      </c>
    </row>
    <row r="1118">
      <c r="A1118" s="167" t="s">
        <v>2333</v>
      </c>
      <c r="B1118" s="167" t="str">
        <f>IFERROR(__xludf.DUMMYFUNCTION("GOOGLEFINANCE(A1118,""Name"")"),"Cincinnati Financial Corp BDR")</f>
        <v>Cincinnati Financial Corp BDR</v>
      </c>
      <c r="C1118" s="167" t="s">
        <v>54</v>
      </c>
      <c r="D1118" s="167" t="s">
        <v>2194</v>
      </c>
      <c r="E1118" s="167" t="s">
        <v>54</v>
      </c>
      <c r="F1118" s="167" t="s">
        <v>240</v>
      </c>
      <c r="G1118" s="167" t="s">
        <v>2134</v>
      </c>
    </row>
    <row r="1119">
      <c r="A1119" s="167" t="s">
        <v>2334</v>
      </c>
      <c r="B1119" s="167" t="str">
        <f>IFERROR(__xludf.DUMMYFUNCTION("GOOGLEFINANCE(A1119,""Name"")"),"Cintas Corp Bdr")</f>
        <v>Cintas Corp Bdr</v>
      </c>
      <c r="C1119" s="167" t="s">
        <v>54</v>
      </c>
      <c r="D1119" s="167" t="s">
        <v>1051</v>
      </c>
      <c r="E1119" s="167" t="s">
        <v>54</v>
      </c>
      <c r="F1119" s="167" t="s">
        <v>240</v>
      </c>
      <c r="G1119" s="167" t="s">
        <v>2134</v>
      </c>
    </row>
    <row r="1120">
      <c r="A1120" s="167" t="s">
        <v>2335</v>
      </c>
      <c r="B1120" s="167" t="str">
        <f>IFERROR(__xludf.DUMMYFUNCTION("GOOGLEFINANCE(A1120,""Name"")"),"Cisco BDR")</f>
        <v>Cisco BDR</v>
      </c>
      <c r="C1120" s="167" t="s">
        <v>54</v>
      </c>
      <c r="D1120" s="167" t="s">
        <v>2336</v>
      </c>
      <c r="E1120" s="167" t="s">
        <v>54</v>
      </c>
      <c r="F1120" s="167" t="s">
        <v>240</v>
      </c>
      <c r="G1120" s="167" t="s">
        <v>2134</v>
      </c>
    </row>
    <row r="1121">
      <c r="A1121" s="167" t="s">
        <v>2337</v>
      </c>
      <c r="B1121" s="167" t="str">
        <f>IFERROR(__xludf.DUMMYFUNCTION("GOOGLEFINANCE(A1121,""Name"")"),"Citigroup BDR")</f>
        <v>Citigroup BDR</v>
      </c>
      <c r="C1121" s="167" t="s">
        <v>54</v>
      </c>
      <c r="D1121" s="167" t="s">
        <v>214</v>
      </c>
      <c r="E1121" s="167" t="s">
        <v>54</v>
      </c>
      <c r="F1121" s="167" t="s">
        <v>240</v>
      </c>
      <c r="G1121" s="167" t="s">
        <v>2134</v>
      </c>
    </row>
    <row r="1122">
      <c r="A1122" s="167" t="s">
        <v>2338</v>
      </c>
      <c r="B1122" s="167" t="str">
        <f>IFERROR(__xludf.DUMMYFUNCTION("GOOGLEFINANCE(A1122,""Name"")"),"Citizens Financial Group Inc Brazilian Depositary Receipt")</f>
        <v>Citizens Financial Group Inc Brazilian Depositary Receipt</v>
      </c>
      <c r="C1122" s="167" t="s">
        <v>54</v>
      </c>
      <c r="D1122" s="167" t="s">
        <v>2257</v>
      </c>
      <c r="E1122" s="167" t="s">
        <v>54</v>
      </c>
      <c r="F1122" s="167" t="s">
        <v>240</v>
      </c>
      <c r="G1122" s="167" t="s">
        <v>2134</v>
      </c>
    </row>
    <row r="1123">
      <c r="A1123" s="167" t="s">
        <v>2339</v>
      </c>
      <c r="B1123" s="167" t="str">
        <f>IFERROR(__xludf.DUMMYFUNCTION("GOOGLEFINANCE(A1123,""Name"")"),"#N/A")</f>
        <v>#N/A</v>
      </c>
      <c r="C1123" s="167" t="s">
        <v>54</v>
      </c>
      <c r="D1123" s="167" t="s">
        <v>2145</v>
      </c>
      <c r="E1123" s="167" t="s">
        <v>54</v>
      </c>
      <c r="F1123" s="167" t="s">
        <v>240</v>
      </c>
      <c r="G1123" s="167" t="s">
        <v>2134</v>
      </c>
    </row>
    <row r="1124">
      <c r="A1124" s="167" t="s">
        <v>2340</v>
      </c>
      <c r="B1124" s="167" t="str">
        <f>IFERROR(__xludf.DUMMYFUNCTION("GOOGLEFINANCE(A1124,""Name"")"),"Clorox Company BDR")</f>
        <v>Clorox Company BDR</v>
      </c>
      <c r="C1124" s="167" t="s">
        <v>54</v>
      </c>
      <c r="D1124" s="167" t="s">
        <v>2341</v>
      </c>
      <c r="E1124" s="167" t="s">
        <v>54</v>
      </c>
      <c r="F1124" s="167" t="s">
        <v>240</v>
      </c>
      <c r="G1124" s="167" t="s">
        <v>2134</v>
      </c>
    </row>
    <row r="1125">
      <c r="A1125" s="167" t="s">
        <v>2342</v>
      </c>
      <c r="B1125" s="167" t="str">
        <f>IFERROR(__xludf.DUMMYFUNCTION("GOOGLEFINANCE(A1125,""Name"")"),"Cme Group Inc BDR")</f>
        <v>Cme Group Inc BDR</v>
      </c>
      <c r="C1125" s="167" t="s">
        <v>54</v>
      </c>
      <c r="D1125" s="167" t="s">
        <v>2194</v>
      </c>
      <c r="E1125" s="167" t="s">
        <v>54</v>
      </c>
      <c r="F1125" s="167" t="s">
        <v>240</v>
      </c>
      <c r="G1125" s="167" t="s">
        <v>2134</v>
      </c>
    </row>
    <row r="1126">
      <c r="A1126" s="167" t="s">
        <v>2343</v>
      </c>
      <c r="B1126" s="167" t="str">
        <f>IFERROR(__xludf.DUMMYFUNCTION("GOOGLEFINANCE(A1126,""Name"")"),"Cms Energy Corp Bdr")</f>
        <v>Cms Energy Corp Bdr</v>
      </c>
      <c r="C1126" s="167" t="s">
        <v>54</v>
      </c>
      <c r="D1126" s="167" t="s">
        <v>2153</v>
      </c>
      <c r="E1126" s="167" t="s">
        <v>54</v>
      </c>
      <c r="F1126" s="167" t="s">
        <v>240</v>
      </c>
      <c r="G1126" s="167" t="s">
        <v>2134</v>
      </c>
    </row>
    <row r="1127">
      <c r="A1127" s="167" t="s">
        <v>2344</v>
      </c>
      <c r="B1127" s="167" t="str">
        <f>IFERROR(__xludf.DUMMYFUNCTION("GOOGLEFINANCE(A1127,""Name"")"),"#N/A")</f>
        <v>#N/A</v>
      </c>
      <c r="C1127" s="167" t="s">
        <v>54</v>
      </c>
      <c r="D1127" s="167" t="s">
        <v>2153</v>
      </c>
      <c r="E1127" s="167" t="s">
        <v>54</v>
      </c>
      <c r="F1127" s="167" t="s">
        <v>2167</v>
      </c>
      <c r="G1127" s="167" t="s">
        <v>2134</v>
      </c>
    </row>
    <row r="1128">
      <c r="A1128" s="167" t="s">
        <v>2345</v>
      </c>
      <c r="B1128" s="167" t="str">
        <f>IFERROR(__xludf.DUMMYFUNCTION("GOOGLEFINANCE(A1128,""Name"")"),"Cognizant Technology Solutions BDR")</f>
        <v>Cognizant Technology Solutions BDR</v>
      </c>
      <c r="C1128" s="167" t="s">
        <v>54</v>
      </c>
      <c r="D1128" s="167" t="s">
        <v>719</v>
      </c>
      <c r="E1128" s="167" t="s">
        <v>54</v>
      </c>
      <c r="F1128" s="167" t="s">
        <v>240</v>
      </c>
      <c r="G1128" s="167" t="s">
        <v>2134</v>
      </c>
    </row>
    <row r="1129">
      <c r="A1129" s="167" t="s">
        <v>2346</v>
      </c>
      <c r="B1129" s="167" t="str">
        <f>IFERROR(__xludf.DUMMYFUNCTION("GOOGLEFINANCE(A1129,""Name"")"),"Comcast Corporation BDR")</f>
        <v>Comcast Corporation BDR</v>
      </c>
      <c r="C1129" s="167" t="s">
        <v>54</v>
      </c>
      <c r="D1129" s="167" t="s">
        <v>2347</v>
      </c>
      <c r="E1129" s="167" t="s">
        <v>54</v>
      </c>
      <c r="F1129" s="167" t="s">
        <v>240</v>
      </c>
      <c r="G1129" s="167" t="s">
        <v>2134</v>
      </c>
    </row>
    <row r="1130">
      <c r="A1130" s="167" t="s">
        <v>2348</v>
      </c>
      <c r="B1130" s="167" t="str">
        <f>IFERROR(__xludf.DUMMYFUNCTION("GOOGLEFINANCE(A1130,""Name"")"),"#N/A")</f>
        <v>#N/A</v>
      </c>
      <c r="C1130" s="167" t="s">
        <v>54</v>
      </c>
      <c r="D1130" s="167" t="s">
        <v>2194</v>
      </c>
      <c r="E1130" s="167" t="s">
        <v>54</v>
      </c>
      <c r="F1130" s="167" t="s">
        <v>240</v>
      </c>
      <c r="G1130" s="167" t="s">
        <v>2134</v>
      </c>
    </row>
    <row r="1131">
      <c r="A1131" s="167" t="s">
        <v>2349</v>
      </c>
      <c r="B1131" s="167" t="str">
        <f>IFERROR(__xludf.DUMMYFUNCTION("GOOGLEFINANCE(A1131,""Name"")"),"Conagra Brands Inc Brazilian Depositary Receipt")</f>
        <v>Conagra Brands Inc Brazilian Depositary Receipt</v>
      </c>
      <c r="C1131" s="167" t="s">
        <v>54</v>
      </c>
      <c r="D1131" s="167" t="s">
        <v>2350</v>
      </c>
      <c r="E1131" s="167" t="s">
        <v>54</v>
      </c>
      <c r="F1131" s="167" t="s">
        <v>240</v>
      </c>
      <c r="G1131" s="167" t="s">
        <v>2134</v>
      </c>
    </row>
    <row r="1132">
      <c r="A1132" s="167" t="s">
        <v>2351</v>
      </c>
      <c r="B1132" s="167" t="str">
        <f>IFERROR(__xludf.DUMMYFUNCTION("GOOGLEFINANCE(A1132,""Name"")"),"#N/A")</f>
        <v>#N/A</v>
      </c>
      <c r="C1132" s="167" t="s">
        <v>54</v>
      </c>
      <c r="D1132" s="167" t="s">
        <v>129</v>
      </c>
      <c r="E1132" s="167" t="s">
        <v>54</v>
      </c>
      <c r="F1132" s="167" t="s">
        <v>240</v>
      </c>
      <c r="G1132" s="167" t="s">
        <v>2134</v>
      </c>
    </row>
    <row r="1133">
      <c r="A1133" s="167" t="s">
        <v>2352</v>
      </c>
      <c r="B1133" s="167" t="str">
        <f>IFERROR(__xludf.DUMMYFUNCTION("GOOGLEFINANCE(A1133,""Name"")"),"Consolidated Edison Inc Bdr")</f>
        <v>Consolidated Edison Inc Bdr</v>
      </c>
      <c r="C1133" s="167" t="s">
        <v>54</v>
      </c>
      <c r="D1133" s="167" t="s">
        <v>2153</v>
      </c>
      <c r="E1133" s="167" t="s">
        <v>54</v>
      </c>
      <c r="F1133" s="167" t="s">
        <v>240</v>
      </c>
      <c r="G1133" s="167" t="s">
        <v>2134</v>
      </c>
    </row>
    <row r="1134">
      <c r="A1134" s="167" t="s">
        <v>2353</v>
      </c>
      <c r="B1134" s="167" t="str">
        <f>IFERROR(__xludf.DUMMYFUNCTION("GOOGLEFINANCE(A1134,""Name"")"),"Constellation Brands Inc BDR")</f>
        <v>Constellation Brands Inc BDR</v>
      </c>
      <c r="C1134" s="167" t="s">
        <v>54</v>
      </c>
      <c r="D1134" s="167" t="s">
        <v>2354</v>
      </c>
      <c r="E1134" s="167" t="s">
        <v>54</v>
      </c>
      <c r="F1134" s="167" t="s">
        <v>240</v>
      </c>
      <c r="G1134" s="167" t="s">
        <v>2134</v>
      </c>
    </row>
    <row r="1135">
      <c r="A1135" s="167" t="s">
        <v>2355</v>
      </c>
      <c r="B1135" s="167" t="str">
        <f>IFERROR(__xludf.DUMMYFUNCTION("GOOGLEFINANCE(A1135,""Name"")"),"Cooper Companies Inc Bdr")</f>
        <v>Cooper Companies Inc Bdr</v>
      </c>
      <c r="C1135" s="167" t="s">
        <v>54</v>
      </c>
      <c r="D1135" s="167" t="s">
        <v>675</v>
      </c>
      <c r="E1135" s="167" t="s">
        <v>54</v>
      </c>
      <c r="F1135" s="167" t="s">
        <v>240</v>
      </c>
      <c r="G1135" s="167" t="s">
        <v>2134</v>
      </c>
    </row>
    <row r="1136">
      <c r="A1136" s="167" t="s">
        <v>2356</v>
      </c>
      <c r="B1136" s="167" t="str">
        <f>IFERROR(__xludf.DUMMYFUNCTION("GOOGLEFINANCE(A1136,""Name"")"),"Copart Inc Bdr")</f>
        <v>Copart Inc Bdr</v>
      </c>
      <c r="C1136" s="167" t="s">
        <v>54</v>
      </c>
      <c r="D1136" s="167" t="s">
        <v>1051</v>
      </c>
      <c r="E1136" s="167" t="s">
        <v>54</v>
      </c>
      <c r="F1136" s="167" t="s">
        <v>240</v>
      </c>
      <c r="G1136" s="167" t="s">
        <v>2134</v>
      </c>
    </row>
    <row r="1137">
      <c r="A1137" s="167" t="s">
        <v>2357</v>
      </c>
      <c r="B1137" s="167" t="str">
        <f>IFERROR(__xludf.DUMMYFUNCTION("GOOGLEFINANCE(A1137,""Name"")"),"Conocophillips BDR")</f>
        <v>Conocophillips BDR</v>
      </c>
      <c r="C1137" s="167" t="s">
        <v>54</v>
      </c>
      <c r="D1137" s="167" t="s">
        <v>2358</v>
      </c>
      <c r="E1137" s="167" t="s">
        <v>54</v>
      </c>
      <c r="F1137" s="167" t="s">
        <v>240</v>
      </c>
      <c r="G1137" s="167" t="s">
        <v>2134</v>
      </c>
    </row>
    <row r="1138">
      <c r="A1138" s="167" t="s">
        <v>2359</v>
      </c>
      <c r="B1138" s="167" t="str">
        <f>IFERROR(__xludf.DUMMYFUNCTION("GOOGLEFINANCE(A1138,""Name"")"),"Corning Inc Brazilian Depositary Receipt")</f>
        <v>Corning Inc Brazilian Depositary Receipt</v>
      </c>
      <c r="C1138" s="167" t="s">
        <v>54</v>
      </c>
      <c r="D1138" s="167" t="s">
        <v>158</v>
      </c>
      <c r="E1138" s="167" t="s">
        <v>54</v>
      </c>
      <c r="F1138" s="167" t="s">
        <v>240</v>
      </c>
      <c r="G1138" s="167" t="s">
        <v>2134</v>
      </c>
    </row>
    <row r="1139">
      <c r="A1139" s="167" t="s">
        <v>2360</v>
      </c>
      <c r="B1139" s="167" t="str">
        <f>IFERROR(__xludf.DUMMYFUNCTION("GOOGLEFINANCE(A1139,""Name"")"),"Corteva Inc Bdr")</f>
        <v>Corteva Inc Bdr</v>
      </c>
      <c r="C1139" s="167" t="s">
        <v>54</v>
      </c>
      <c r="D1139" s="167" t="s">
        <v>2361</v>
      </c>
      <c r="E1139" s="167" t="s">
        <v>54</v>
      </c>
      <c r="F1139" s="167" t="s">
        <v>240</v>
      </c>
      <c r="G1139" s="167" t="s">
        <v>2134</v>
      </c>
    </row>
    <row r="1140">
      <c r="A1140" s="167" t="s">
        <v>2362</v>
      </c>
      <c r="B1140" s="167" t="str">
        <f>IFERROR(__xludf.DUMMYFUNCTION("GOOGLEFINANCE(A1140,""Name"")"),"Costar Group Inc Bdr")</f>
        <v>Costar Group Inc Bdr</v>
      </c>
      <c r="C1140" s="167" t="s">
        <v>54</v>
      </c>
      <c r="D1140" s="167" t="s">
        <v>2363</v>
      </c>
      <c r="E1140" s="167" t="s">
        <v>54</v>
      </c>
      <c r="F1140" s="167" t="s">
        <v>240</v>
      </c>
      <c r="G1140" s="167" t="s">
        <v>2134</v>
      </c>
    </row>
    <row r="1141">
      <c r="A1141" s="167" t="s">
        <v>2364</v>
      </c>
      <c r="B1141" s="167" t="str">
        <f>IFERROR(__xludf.DUMMYFUNCTION("GOOGLEFINANCE(A1141,""Name"")"),"Costco Wholesale Corporation BDR")</f>
        <v>Costco Wholesale Corporation BDR</v>
      </c>
      <c r="C1141" s="167" t="s">
        <v>54</v>
      </c>
      <c r="D1141" s="167" t="s">
        <v>664</v>
      </c>
      <c r="E1141" s="167" t="s">
        <v>54</v>
      </c>
      <c r="F1141" s="167" t="s">
        <v>240</v>
      </c>
      <c r="G1141" s="167" t="s">
        <v>2134</v>
      </c>
    </row>
    <row r="1142">
      <c r="A1142" s="167" t="s">
        <v>2365</v>
      </c>
      <c r="B1142" s="167" t="str">
        <f>IFERROR(__xludf.DUMMYFUNCTION("GOOGLEFINANCE(A1142,""Name"")"),"Coty Inc Bdr")</f>
        <v>Coty Inc Bdr</v>
      </c>
      <c r="C1142" s="167" t="s">
        <v>54</v>
      </c>
      <c r="D1142" s="167" t="s">
        <v>2366</v>
      </c>
      <c r="E1142" s="167" t="s">
        <v>54</v>
      </c>
      <c r="F1142" s="167" t="s">
        <v>240</v>
      </c>
      <c r="G1142" s="167" t="s">
        <v>2134</v>
      </c>
    </row>
    <row r="1143">
      <c r="A1143" s="167" t="s">
        <v>2367</v>
      </c>
      <c r="B1143" s="167" t="str">
        <f>IFERROR(__xludf.DUMMYFUNCTION("GOOGLEFINANCE(A1143,""Name"")"),"#N/A")</f>
        <v>#N/A</v>
      </c>
      <c r="C1143" s="167" t="s">
        <v>54</v>
      </c>
      <c r="D1143" s="167" t="s">
        <v>2145</v>
      </c>
      <c r="E1143" s="167" t="s">
        <v>54</v>
      </c>
      <c r="F1143" s="167" t="s">
        <v>240</v>
      </c>
      <c r="G1143" s="167" t="s">
        <v>2134</v>
      </c>
    </row>
    <row r="1144">
      <c r="A1144" s="167" t="s">
        <v>2368</v>
      </c>
      <c r="B1144" s="167" t="str">
        <f>IFERROR(__xludf.DUMMYFUNCTION("GOOGLEFINANCE(A1144,""Name"")"),"Credit Acceptance Corp BDR")</f>
        <v>Credit Acceptance Corp BDR</v>
      </c>
      <c r="C1144" s="167" t="s">
        <v>54</v>
      </c>
      <c r="D1144" s="167" t="s">
        <v>2194</v>
      </c>
      <c r="E1144" s="167" t="s">
        <v>54</v>
      </c>
      <c r="F1144" s="167" t="s">
        <v>240</v>
      </c>
      <c r="G1144" s="167" t="s">
        <v>2134</v>
      </c>
    </row>
    <row r="1145">
      <c r="A1145" s="167" t="s">
        <v>2369</v>
      </c>
      <c r="B1145" s="167" t="str">
        <f>IFERROR(__xludf.DUMMYFUNCTION("GOOGLEFINANCE(A1145,""Name"")"),"#N/A")</f>
        <v>#N/A</v>
      </c>
      <c r="C1145" s="167" t="s">
        <v>54</v>
      </c>
      <c r="D1145" s="167" t="s">
        <v>875</v>
      </c>
      <c r="E1145" s="167" t="s">
        <v>54</v>
      </c>
      <c r="F1145" s="167" t="s">
        <v>2139</v>
      </c>
      <c r="G1145" s="167" t="s">
        <v>2134</v>
      </c>
    </row>
    <row r="1146">
      <c r="A1146" s="167" t="s">
        <v>2370</v>
      </c>
      <c r="B1146" s="167" t="str">
        <f>IFERROR(__xludf.DUMMYFUNCTION("GOOGLEFINANCE(A1146,""Name"")"),"#N/A")</f>
        <v>#N/A</v>
      </c>
      <c r="C1146" s="167" t="s">
        <v>54</v>
      </c>
      <c r="D1146" s="167" t="s">
        <v>2371</v>
      </c>
      <c r="E1146" s="167" t="s">
        <v>54</v>
      </c>
      <c r="F1146" s="167" t="s">
        <v>2219</v>
      </c>
      <c r="G1146" s="167" t="s">
        <v>2134</v>
      </c>
    </row>
    <row r="1147">
      <c r="A1147" s="167" t="s">
        <v>2372</v>
      </c>
      <c r="B1147" s="167" t="str">
        <f>IFERROR(__xludf.DUMMYFUNCTION("GOOGLEFINANCE(A1147,""Name"")"),"Crown Castle International Corp Bdr")</f>
        <v>Crown Castle International Corp Bdr</v>
      </c>
      <c r="C1147" s="167" t="s">
        <v>54</v>
      </c>
      <c r="D1147" s="167" t="s">
        <v>2145</v>
      </c>
      <c r="E1147" s="167" t="s">
        <v>54</v>
      </c>
      <c r="F1147" s="167" t="s">
        <v>240</v>
      </c>
      <c r="G1147" s="167" t="s">
        <v>2134</v>
      </c>
    </row>
    <row r="1148">
      <c r="A1148" s="167" t="s">
        <v>2373</v>
      </c>
      <c r="B1148" s="167" t="str">
        <f>IFERROR(__xludf.DUMMYFUNCTION("GOOGLEFINANCE(A1148,""Name"")"),"Csx Corp BDR")</f>
        <v>Csx Corp BDR</v>
      </c>
      <c r="C1148" s="167" t="s">
        <v>54</v>
      </c>
      <c r="D1148" s="167" t="s">
        <v>2138</v>
      </c>
      <c r="E1148" s="167" t="s">
        <v>54</v>
      </c>
      <c r="F1148" s="167" t="s">
        <v>240</v>
      </c>
      <c r="G1148" s="167" t="s">
        <v>2134</v>
      </c>
    </row>
    <row r="1149">
      <c r="A1149" s="167" t="s">
        <v>2374</v>
      </c>
      <c r="B1149" s="167" t="str">
        <f>IFERROR(__xludf.DUMMYFUNCTION("GOOGLEFINANCE(A1149,""Name"")"),"Ctrip Com International Ltd Bdr")</f>
        <v>Ctrip Com International Ltd Bdr</v>
      </c>
      <c r="C1149" s="167" t="s">
        <v>54</v>
      </c>
      <c r="D1149" s="167" t="s">
        <v>2304</v>
      </c>
      <c r="E1149" s="167" t="s">
        <v>54</v>
      </c>
      <c r="F1149" s="167" t="s">
        <v>2167</v>
      </c>
      <c r="G1149" s="167" t="s">
        <v>2134</v>
      </c>
    </row>
    <row r="1150">
      <c r="A1150" s="167" t="s">
        <v>2375</v>
      </c>
      <c r="B1150" s="167" t="str">
        <f>IFERROR(__xludf.DUMMYFUNCTION("GOOGLEFINANCE(A1150,""Name"")"),"Cummins Inc Bdr")</f>
        <v>Cummins Inc Bdr</v>
      </c>
      <c r="C1150" s="167" t="s">
        <v>54</v>
      </c>
      <c r="D1150" s="167" t="s">
        <v>2376</v>
      </c>
      <c r="E1150" s="167" t="s">
        <v>54</v>
      </c>
      <c r="F1150" s="167" t="s">
        <v>240</v>
      </c>
      <c r="G1150" s="167" t="s">
        <v>2134</v>
      </c>
    </row>
    <row r="1151">
      <c r="A1151" s="167" t="s">
        <v>2377</v>
      </c>
      <c r="B1151" s="167" t="str">
        <f>IFERROR(__xludf.DUMMYFUNCTION("GOOGLEFINANCE(A1151,""Name"")"),"Cvs Health Corporation BDR")</f>
        <v>Cvs Health Corporation BDR</v>
      </c>
      <c r="C1151" s="167" t="s">
        <v>54</v>
      </c>
      <c r="D1151" s="167" t="s">
        <v>245</v>
      </c>
      <c r="E1151" s="167" t="s">
        <v>54</v>
      </c>
      <c r="F1151" s="167" t="s">
        <v>240</v>
      </c>
      <c r="G1151" s="167" t="s">
        <v>2134</v>
      </c>
    </row>
    <row r="1152">
      <c r="A1152" s="167" t="s">
        <v>2378</v>
      </c>
      <c r="B1152" s="167" t="str">
        <f>IFERROR(__xludf.DUMMYFUNCTION("GOOGLEFINANCE(A1152,""Name"")"),"Danaher Corporation Bdr")</f>
        <v>Danaher Corporation Bdr</v>
      </c>
      <c r="C1152" s="167" t="s">
        <v>54</v>
      </c>
      <c r="D1152" s="167" t="s">
        <v>2138</v>
      </c>
      <c r="E1152" s="167" t="s">
        <v>54</v>
      </c>
      <c r="F1152" s="167" t="s">
        <v>240</v>
      </c>
      <c r="G1152" s="167" t="s">
        <v>2134</v>
      </c>
    </row>
    <row r="1153">
      <c r="A1153" s="167" t="s">
        <v>2379</v>
      </c>
      <c r="B1153" s="167" t="str">
        <f>IFERROR(__xludf.DUMMYFUNCTION("GOOGLEFINANCE(A1153,""Name"")"),"Darden Restaurants Inc Bdr")</f>
        <v>Darden Restaurants Inc Bdr</v>
      </c>
      <c r="C1153" s="167" t="s">
        <v>54</v>
      </c>
      <c r="D1153" s="167" t="s">
        <v>2326</v>
      </c>
      <c r="E1153" s="167" t="s">
        <v>54</v>
      </c>
      <c r="F1153" s="167" t="s">
        <v>240</v>
      </c>
      <c r="G1153" s="167" t="s">
        <v>2134</v>
      </c>
    </row>
    <row r="1154">
      <c r="A1154" s="167" t="s">
        <v>2380</v>
      </c>
      <c r="B1154" s="167" t="str">
        <f>IFERROR(__xludf.DUMMYFUNCTION("GOOGLEFINANCE(A1154,""Name"")"),"Datadog Inc Bdr")</f>
        <v>Datadog Inc Bdr</v>
      </c>
      <c r="C1154" s="167" t="s">
        <v>54</v>
      </c>
      <c r="D1154" s="167" t="s">
        <v>2145</v>
      </c>
      <c r="E1154" s="167" t="s">
        <v>54</v>
      </c>
      <c r="F1154" s="167" t="s">
        <v>240</v>
      </c>
      <c r="G1154" s="167" t="s">
        <v>2134</v>
      </c>
    </row>
    <row r="1155">
      <c r="A1155" s="167" t="s">
        <v>2381</v>
      </c>
      <c r="B1155" s="167" t="str">
        <f>IFERROR(__xludf.DUMMYFUNCTION("GOOGLEFINANCE(A1155,""Name"")"),"Davita Inc BDR")</f>
        <v>Davita Inc BDR</v>
      </c>
      <c r="C1155" s="167" t="s">
        <v>54</v>
      </c>
      <c r="D1155" s="167" t="s">
        <v>2382</v>
      </c>
      <c r="E1155" s="167" t="s">
        <v>54</v>
      </c>
      <c r="F1155" s="167" t="s">
        <v>240</v>
      </c>
      <c r="G1155" s="167" t="s">
        <v>2134</v>
      </c>
    </row>
    <row r="1156">
      <c r="A1156" s="167" t="s">
        <v>2383</v>
      </c>
      <c r="B1156" s="167" t="str">
        <f>IFERROR(__xludf.DUMMYFUNCTION("GOOGLEFINANCE(A1156,""Name"")"),"Deere &amp; Co BDR")</f>
        <v>Deere &amp; Co BDR</v>
      </c>
      <c r="C1156" s="167" t="s">
        <v>54</v>
      </c>
      <c r="D1156" s="167" t="s">
        <v>2138</v>
      </c>
      <c r="E1156" s="167" t="s">
        <v>54</v>
      </c>
      <c r="F1156" s="167" t="s">
        <v>240</v>
      </c>
      <c r="G1156" s="167" t="s">
        <v>2134</v>
      </c>
    </row>
    <row r="1157">
      <c r="A1157" s="167" t="s">
        <v>2384</v>
      </c>
      <c r="B1157" s="167" t="str">
        <f>IFERROR(__xludf.DUMMYFUNCTION("GOOGLEFINANCE(A1157,""Name"")"),"Dell Technologies Inc Brazilian Depositary Receipt")</f>
        <v>Dell Technologies Inc Brazilian Depositary Receipt</v>
      </c>
      <c r="C1157" s="167" t="s">
        <v>54</v>
      </c>
      <c r="D1157" s="167" t="s">
        <v>716</v>
      </c>
      <c r="E1157" s="167" t="s">
        <v>54</v>
      </c>
      <c r="F1157" s="167" t="s">
        <v>240</v>
      </c>
      <c r="G1157" s="167" t="s">
        <v>2134</v>
      </c>
    </row>
    <row r="1158">
      <c r="A1158" s="167" t="s">
        <v>2385</v>
      </c>
      <c r="B1158" s="167" t="str">
        <f>IFERROR(__xludf.DUMMYFUNCTION("GOOGLEFINANCE(A1158,""Name"")"),"Delta Air Lines Inc BDR")</f>
        <v>Delta Air Lines Inc BDR</v>
      </c>
      <c r="C1158" s="167" t="s">
        <v>54</v>
      </c>
      <c r="D1158" s="167" t="s">
        <v>361</v>
      </c>
      <c r="E1158" s="167" t="s">
        <v>54</v>
      </c>
      <c r="F1158" s="167" t="s">
        <v>240</v>
      </c>
      <c r="G1158" s="167" t="s">
        <v>2134</v>
      </c>
    </row>
    <row r="1159">
      <c r="A1159" s="167" t="s">
        <v>2386</v>
      </c>
      <c r="B1159" s="167" t="str">
        <f>IFERROR(__xludf.DUMMYFUNCTION("GOOGLEFINANCE(A1159,""Name"")"),"Dentsply Sirona Inc BDR")</f>
        <v>Dentsply Sirona Inc BDR</v>
      </c>
      <c r="C1159" s="167" t="s">
        <v>54</v>
      </c>
      <c r="D1159" s="167" t="s">
        <v>2387</v>
      </c>
      <c r="E1159" s="167" t="s">
        <v>54</v>
      </c>
      <c r="F1159" s="167" t="s">
        <v>240</v>
      </c>
      <c r="G1159" s="167" t="s">
        <v>2134</v>
      </c>
    </row>
    <row r="1160">
      <c r="A1160" s="167" t="s">
        <v>2388</v>
      </c>
      <c r="B1160" s="167" t="str">
        <f>IFERROR(__xludf.DUMMYFUNCTION("GOOGLEFINANCE(A1160,""Name"")"),"Deutsche Bank Aktiengesellschaft BDR")</f>
        <v>Deutsche Bank Aktiengesellschaft BDR</v>
      </c>
      <c r="C1160" s="167" t="s">
        <v>54</v>
      </c>
      <c r="D1160" s="167" t="s">
        <v>2194</v>
      </c>
      <c r="E1160" s="167" t="s">
        <v>54</v>
      </c>
      <c r="F1160" s="167" t="s">
        <v>2389</v>
      </c>
      <c r="G1160" s="167" t="s">
        <v>2134</v>
      </c>
    </row>
    <row r="1161">
      <c r="A1161" s="167" t="s">
        <v>2390</v>
      </c>
      <c r="B1161" s="167" t="str">
        <f>IFERROR(__xludf.DUMMYFUNCTION("GOOGLEFINANCE(A1161,""Name"")"),"Devon Energy Corp Brazilian Depositary Receipt")</f>
        <v>Devon Energy Corp Brazilian Depositary Receipt</v>
      </c>
      <c r="C1161" s="167" t="s">
        <v>54</v>
      </c>
      <c r="D1161" s="167" t="s">
        <v>129</v>
      </c>
      <c r="E1161" s="167" t="s">
        <v>54</v>
      </c>
      <c r="F1161" s="167" t="s">
        <v>240</v>
      </c>
      <c r="G1161" s="167" t="s">
        <v>2134</v>
      </c>
    </row>
    <row r="1162">
      <c r="A1162" s="167" t="s">
        <v>2391</v>
      </c>
      <c r="B1162" s="167" t="str">
        <f>IFERROR(__xludf.DUMMYFUNCTION("GOOGLEFINANCE(A1162,""Name"")"),"Dexcom Inc Bdr")</f>
        <v>Dexcom Inc Bdr</v>
      </c>
      <c r="C1162" s="167" t="s">
        <v>54</v>
      </c>
      <c r="D1162" s="167" t="s">
        <v>2176</v>
      </c>
      <c r="E1162" s="167" t="s">
        <v>54</v>
      </c>
      <c r="F1162" s="167" t="s">
        <v>240</v>
      </c>
      <c r="G1162" s="167" t="s">
        <v>2134</v>
      </c>
    </row>
    <row r="1163">
      <c r="A1163" s="167" t="s">
        <v>2392</v>
      </c>
      <c r="B1163" s="167" t="str">
        <f>IFERROR(__xludf.DUMMYFUNCTION("GOOGLEFINANCE(A1163,""Name"")"),"Diageo Plc Bdr")</f>
        <v>Diageo Plc Bdr</v>
      </c>
      <c r="C1163" s="167" t="s">
        <v>54</v>
      </c>
      <c r="D1163" s="167" t="s">
        <v>465</v>
      </c>
      <c r="E1163" s="167" t="s">
        <v>54</v>
      </c>
      <c r="F1163" s="167" t="s">
        <v>2183</v>
      </c>
      <c r="G1163" s="167" t="s">
        <v>2134</v>
      </c>
    </row>
    <row r="1164">
      <c r="A1164" s="167" t="s">
        <v>2393</v>
      </c>
      <c r="B1164" s="167" t="str">
        <f>IFERROR(__xludf.DUMMYFUNCTION("GOOGLEFINANCE(A1164,""Name"")"),"Diamondback Energy Inc Bdr")</f>
        <v>Diamondback Energy Inc Bdr</v>
      </c>
      <c r="C1164" s="167" t="s">
        <v>54</v>
      </c>
      <c r="D1164" s="167" t="s">
        <v>2394</v>
      </c>
      <c r="E1164" s="167" t="s">
        <v>54</v>
      </c>
      <c r="F1164" s="167" t="s">
        <v>240</v>
      </c>
      <c r="G1164" s="167" t="s">
        <v>2134</v>
      </c>
    </row>
    <row r="1165">
      <c r="A1165" s="167" t="s">
        <v>2395</v>
      </c>
      <c r="B1165" s="167" t="str">
        <f>IFERROR(__xludf.DUMMYFUNCTION("GOOGLEFINANCE(A1165,""Name"")"),"Digital Realty Trust Inc Bdr")</f>
        <v>Digital Realty Trust Inc Bdr</v>
      </c>
      <c r="C1165" s="167" t="s">
        <v>54</v>
      </c>
      <c r="D1165" s="167" t="s">
        <v>2163</v>
      </c>
      <c r="E1165" s="167" t="s">
        <v>54</v>
      </c>
      <c r="F1165" s="167" t="s">
        <v>240</v>
      </c>
      <c r="G1165" s="167" t="s">
        <v>2134</v>
      </c>
    </row>
    <row r="1166">
      <c r="A1166" s="167" t="s">
        <v>2396</v>
      </c>
      <c r="B1166" s="167" t="str">
        <f>IFERROR(__xludf.DUMMYFUNCTION("GOOGLEFINANCE(A1166,""Name"")"),"#N/A")</f>
        <v>#N/A</v>
      </c>
      <c r="C1166" s="167" t="s">
        <v>54</v>
      </c>
      <c r="D1166" s="167" t="s">
        <v>2194</v>
      </c>
      <c r="E1166" s="167" t="s">
        <v>54</v>
      </c>
      <c r="F1166" s="167" t="s">
        <v>240</v>
      </c>
      <c r="G1166" s="167" t="s">
        <v>2134</v>
      </c>
    </row>
    <row r="1167">
      <c r="A1167" s="167" t="s">
        <v>2397</v>
      </c>
      <c r="B1167" s="167" t="str">
        <f>IFERROR(__xludf.DUMMYFUNCTION("GOOGLEFINANCE(A1167,""Name"")"),"#N/A")</f>
        <v>#N/A</v>
      </c>
      <c r="C1167" s="167" t="s">
        <v>54</v>
      </c>
      <c r="D1167" s="167" t="s">
        <v>2186</v>
      </c>
      <c r="E1167" s="167" t="s">
        <v>54</v>
      </c>
      <c r="F1167" s="167" t="s">
        <v>240</v>
      </c>
      <c r="G1167" s="167" t="s">
        <v>2134</v>
      </c>
    </row>
    <row r="1168">
      <c r="A1168" s="167" t="s">
        <v>2398</v>
      </c>
      <c r="B1168" s="167" t="str">
        <f>IFERROR(__xludf.DUMMYFUNCTION("GOOGLEFINANCE(A1168,""Name"")"),"#N/A")</f>
        <v>#N/A</v>
      </c>
      <c r="C1168" s="167" t="s">
        <v>54</v>
      </c>
      <c r="D1168" s="167" t="s">
        <v>733</v>
      </c>
      <c r="E1168" s="167" t="s">
        <v>54</v>
      </c>
      <c r="F1168" s="167" t="s">
        <v>240</v>
      </c>
      <c r="G1168" s="167" t="s">
        <v>2134</v>
      </c>
    </row>
    <row r="1169">
      <c r="A1169" s="167" t="s">
        <v>2399</v>
      </c>
      <c r="B1169" s="167" t="str">
        <f>IFERROR(__xludf.DUMMYFUNCTION("GOOGLEFINANCE(A1169,""Name"")"),"#N/A")</f>
        <v>#N/A</v>
      </c>
      <c r="C1169" s="167" t="s">
        <v>54</v>
      </c>
      <c r="D1169" s="167" t="s">
        <v>733</v>
      </c>
      <c r="E1169" s="167" t="s">
        <v>54</v>
      </c>
      <c r="F1169" s="167" t="s">
        <v>240</v>
      </c>
      <c r="G1169" s="167" t="s">
        <v>2134</v>
      </c>
    </row>
    <row r="1170">
      <c r="A1170" s="167" t="s">
        <v>2400</v>
      </c>
      <c r="B1170" s="167" t="str">
        <f>IFERROR(__xludf.DUMMYFUNCTION("GOOGLEFINANCE(A1170,""Name"")"),"Docusign Inc Bdr")</f>
        <v>Docusign Inc Bdr</v>
      </c>
      <c r="C1170" s="167" t="s">
        <v>54</v>
      </c>
      <c r="D1170" s="167" t="s">
        <v>2145</v>
      </c>
      <c r="E1170" s="167" t="s">
        <v>54</v>
      </c>
      <c r="F1170" s="167" t="s">
        <v>240</v>
      </c>
      <c r="G1170" s="167" t="s">
        <v>2134</v>
      </c>
    </row>
    <row r="1171">
      <c r="A1171" s="167" t="s">
        <v>2401</v>
      </c>
      <c r="B1171" s="167" t="str">
        <f>IFERROR(__xludf.DUMMYFUNCTION("GOOGLEFINANCE(A1171,""Name"")"),"Dollar General Corp BDR")</f>
        <v>Dollar General Corp BDR</v>
      </c>
      <c r="C1171" s="167" t="s">
        <v>54</v>
      </c>
      <c r="D1171" s="167" t="s">
        <v>421</v>
      </c>
      <c r="E1171" s="167" t="s">
        <v>54</v>
      </c>
      <c r="F1171" s="167" t="s">
        <v>240</v>
      </c>
      <c r="G1171" s="167" t="s">
        <v>2134</v>
      </c>
    </row>
    <row r="1172">
      <c r="A1172" s="167" t="s">
        <v>2402</v>
      </c>
      <c r="B1172" s="167" t="str">
        <f>IFERROR(__xludf.DUMMYFUNCTION("GOOGLEFINANCE(A1172,""Name"")"),"Dollar Tree Inc BDR")</f>
        <v>Dollar Tree Inc BDR</v>
      </c>
      <c r="C1172" s="167" t="s">
        <v>54</v>
      </c>
      <c r="D1172" s="167" t="s">
        <v>421</v>
      </c>
      <c r="E1172" s="167" t="s">
        <v>54</v>
      </c>
      <c r="F1172" s="167" t="s">
        <v>240</v>
      </c>
      <c r="G1172" s="167" t="s">
        <v>2134</v>
      </c>
    </row>
    <row r="1173">
      <c r="A1173" s="167" t="s">
        <v>2403</v>
      </c>
      <c r="B1173" s="167" t="str">
        <f>IFERROR(__xludf.DUMMYFUNCTION("GOOGLEFINANCE(A1173,""Name"")"),"Dominion Energy Inc Brazilian Depositary Receipt")</f>
        <v>Dominion Energy Inc Brazilian Depositary Receipt</v>
      </c>
      <c r="C1173" s="167" t="s">
        <v>54</v>
      </c>
      <c r="D1173" s="167" t="s">
        <v>2153</v>
      </c>
      <c r="E1173" s="167" t="s">
        <v>54</v>
      </c>
      <c r="F1173" s="167" t="s">
        <v>240</v>
      </c>
      <c r="G1173" s="167" t="s">
        <v>2134</v>
      </c>
    </row>
    <row r="1174">
      <c r="A1174" s="167" t="s">
        <v>2404</v>
      </c>
      <c r="B1174" s="167" t="str">
        <f>IFERROR(__xludf.DUMMYFUNCTION("GOOGLEFINANCE(A1174,""Name"")"),"Dover Corp Bdr")</f>
        <v>Dover Corp Bdr</v>
      </c>
      <c r="C1174" s="167" t="s">
        <v>54</v>
      </c>
      <c r="D1174" s="167" t="s">
        <v>2405</v>
      </c>
      <c r="E1174" s="167" t="s">
        <v>54</v>
      </c>
      <c r="F1174" s="167" t="s">
        <v>240</v>
      </c>
      <c r="G1174" s="167" t="s">
        <v>2134</v>
      </c>
    </row>
    <row r="1175">
      <c r="A1175" s="167" t="s">
        <v>2406</v>
      </c>
      <c r="B1175" s="167" t="str">
        <f>IFERROR(__xludf.DUMMYFUNCTION("GOOGLEFINANCE(A1175,""Name"")"),"Dow Inc Bdr")</f>
        <v>Dow Inc Bdr</v>
      </c>
      <c r="C1175" s="167" t="s">
        <v>54</v>
      </c>
      <c r="D1175" s="167" t="s">
        <v>2407</v>
      </c>
      <c r="E1175" s="167" t="s">
        <v>54</v>
      </c>
      <c r="F1175" s="167" t="s">
        <v>240</v>
      </c>
      <c r="G1175" s="167" t="s">
        <v>2134</v>
      </c>
    </row>
    <row r="1176">
      <c r="A1176" s="167" t="s">
        <v>2408</v>
      </c>
      <c r="B1176" s="167" t="str">
        <f>IFERROR(__xludf.DUMMYFUNCTION("GOOGLEFINANCE(A1176,""Name"")"),"Dr Horton Inc Brazilian Depositary Receipt")</f>
        <v>Dr Horton Inc Brazilian Depositary Receipt</v>
      </c>
      <c r="C1176" s="167" t="s">
        <v>54</v>
      </c>
      <c r="D1176" s="167" t="s">
        <v>2371</v>
      </c>
      <c r="E1176" s="167" t="s">
        <v>54</v>
      </c>
      <c r="F1176" s="167" t="s">
        <v>240</v>
      </c>
      <c r="G1176" s="167" t="s">
        <v>2134</v>
      </c>
    </row>
    <row r="1177">
      <c r="A1177" s="167" t="s">
        <v>2409</v>
      </c>
      <c r="B1177" s="167" t="str">
        <f>IFERROR(__xludf.DUMMYFUNCTION("GOOGLEFINANCE(A1177,""Name"")"),"Dr Reddys Laboratories Bdr")</f>
        <v>Dr Reddys Laboratories Bdr</v>
      </c>
      <c r="C1177" s="167" t="s">
        <v>54</v>
      </c>
      <c r="D1177" s="167" t="s">
        <v>2176</v>
      </c>
      <c r="E1177" s="167" t="s">
        <v>54</v>
      </c>
      <c r="F1177" s="167" t="s">
        <v>2410</v>
      </c>
      <c r="G1177" s="167" t="s">
        <v>2134</v>
      </c>
    </row>
    <row r="1178">
      <c r="A1178" s="167" t="s">
        <v>2411</v>
      </c>
      <c r="B1178" s="167" t="str">
        <f>IFERROR(__xludf.DUMMYFUNCTION("GOOGLEFINANCE(A1178,""Name"")"),"Dte Energy Co Bdr")</f>
        <v>Dte Energy Co Bdr</v>
      </c>
      <c r="C1178" s="167" t="s">
        <v>54</v>
      </c>
      <c r="D1178" s="167" t="s">
        <v>2153</v>
      </c>
      <c r="E1178" s="167" t="s">
        <v>54</v>
      </c>
      <c r="F1178" s="167" t="s">
        <v>240</v>
      </c>
      <c r="G1178" s="167" t="s">
        <v>2134</v>
      </c>
    </row>
    <row r="1179">
      <c r="A1179" s="167" t="s">
        <v>2412</v>
      </c>
      <c r="B1179" s="167" t="str">
        <f>IFERROR(__xludf.DUMMYFUNCTION("GOOGLEFINANCE(A1179,""Name"")"),"#N/A")</f>
        <v>#N/A</v>
      </c>
      <c r="C1179" s="167" t="s">
        <v>54</v>
      </c>
      <c r="D1179" s="167" t="s">
        <v>2163</v>
      </c>
      <c r="E1179" s="167" t="s">
        <v>54</v>
      </c>
      <c r="F1179" s="167" t="s">
        <v>240</v>
      </c>
      <c r="G1179" s="167" t="s">
        <v>2134</v>
      </c>
    </row>
    <row r="1180">
      <c r="A1180" s="167" t="s">
        <v>2413</v>
      </c>
      <c r="B1180" s="167" t="str">
        <f>IFERROR(__xludf.DUMMYFUNCTION("GOOGLEFINANCE(A1180,""Name"")"),"Dxc Technology Co Brazilian Depositary Receipt")</f>
        <v>Dxc Technology Co Brazilian Depositary Receipt</v>
      </c>
      <c r="C1180" s="167" t="s">
        <v>54</v>
      </c>
      <c r="D1180" s="167" t="s">
        <v>2145</v>
      </c>
      <c r="E1180" s="167" t="s">
        <v>54</v>
      </c>
      <c r="F1180" s="167" t="s">
        <v>240</v>
      </c>
      <c r="G1180" s="167" t="s">
        <v>2134</v>
      </c>
    </row>
    <row r="1181">
      <c r="A1181" s="167" t="s">
        <v>2414</v>
      </c>
      <c r="B1181" s="167" t="str">
        <f>IFERROR(__xludf.DUMMYFUNCTION("GOOGLEFINANCE(A1181,""Name"")"),"Eastman Chemical Co Bdr")</f>
        <v>Eastman Chemical Co Bdr</v>
      </c>
      <c r="C1181" s="167" t="s">
        <v>54</v>
      </c>
      <c r="D1181" s="167" t="s">
        <v>205</v>
      </c>
      <c r="E1181" s="167" t="s">
        <v>54</v>
      </c>
      <c r="F1181" s="167" t="s">
        <v>240</v>
      </c>
      <c r="G1181" s="167" t="s">
        <v>2134</v>
      </c>
    </row>
    <row r="1182">
      <c r="A1182" s="167" t="s">
        <v>2415</v>
      </c>
      <c r="B1182" s="167" t="str">
        <f>IFERROR(__xludf.DUMMYFUNCTION("GOOGLEFINANCE(A1182,""Name"")"),"Eaton Corp Plc Bdr")</f>
        <v>Eaton Corp Plc Bdr</v>
      </c>
      <c r="C1182" s="167" t="s">
        <v>54</v>
      </c>
      <c r="D1182" s="167" t="s">
        <v>2153</v>
      </c>
      <c r="E1182" s="167" t="s">
        <v>54</v>
      </c>
      <c r="F1182" s="167" t="s">
        <v>240</v>
      </c>
      <c r="G1182" s="167" t="s">
        <v>2134</v>
      </c>
    </row>
    <row r="1183">
      <c r="A1183" s="167" t="s">
        <v>2416</v>
      </c>
      <c r="B1183" s="167" t="str">
        <f>IFERROR(__xludf.DUMMYFUNCTION("GOOGLEFINANCE(A1183,""Name"")"),"Ebay INC. BDR")</f>
        <v>Ebay INC. BDR</v>
      </c>
      <c r="C1183" s="167" t="s">
        <v>54</v>
      </c>
      <c r="D1183" s="167" t="s">
        <v>2417</v>
      </c>
      <c r="E1183" s="167" t="s">
        <v>54</v>
      </c>
      <c r="F1183" s="167" t="s">
        <v>240</v>
      </c>
      <c r="G1183" s="167" t="s">
        <v>2134</v>
      </c>
    </row>
    <row r="1184">
      <c r="A1184" s="167" t="s">
        <v>2418</v>
      </c>
      <c r="B1184" s="167" t="str">
        <f>IFERROR(__xludf.DUMMYFUNCTION("GOOGLEFINANCE(A1184,""Name"")"),"Ecolab Inc Bdr")</f>
        <v>Ecolab Inc Bdr</v>
      </c>
      <c r="C1184" s="167" t="s">
        <v>54</v>
      </c>
      <c r="D1184" s="167" t="s">
        <v>2419</v>
      </c>
      <c r="E1184" s="167" t="s">
        <v>54</v>
      </c>
      <c r="F1184" s="167" t="s">
        <v>240</v>
      </c>
      <c r="G1184" s="167" t="s">
        <v>2134</v>
      </c>
    </row>
    <row r="1185">
      <c r="A1185" s="167" t="s">
        <v>2420</v>
      </c>
      <c r="B1185" s="167" t="str">
        <f>IFERROR(__xludf.DUMMYFUNCTION("GOOGLEFINANCE(A1185,""Name"")"),"Ecopetrol Sa Bdr")</f>
        <v>Ecopetrol Sa Bdr</v>
      </c>
      <c r="C1185" s="167" t="s">
        <v>54</v>
      </c>
      <c r="D1185" s="167" t="s">
        <v>2153</v>
      </c>
      <c r="E1185" s="167" t="s">
        <v>54</v>
      </c>
      <c r="F1185" s="167" t="s">
        <v>2421</v>
      </c>
      <c r="G1185" s="167" t="s">
        <v>2134</v>
      </c>
    </row>
    <row r="1186">
      <c r="A1186" s="167" t="s">
        <v>2422</v>
      </c>
      <c r="B1186" s="167" t="str">
        <f>IFERROR(__xludf.DUMMYFUNCTION("GOOGLEFINANCE(A1186,""Name"")"),"Edison International Brazilian Depositary Receipt")</f>
        <v>Edison International Brazilian Depositary Receipt</v>
      </c>
      <c r="C1186" s="167" t="s">
        <v>54</v>
      </c>
      <c r="D1186" s="167" t="s">
        <v>1051</v>
      </c>
      <c r="E1186" s="167" t="s">
        <v>54</v>
      </c>
      <c r="F1186" s="167" t="s">
        <v>240</v>
      </c>
      <c r="G1186" s="167" t="s">
        <v>2134</v>
      </c>
    </row>
    <row r="1187">
      <c r="A1187" s="167" t="s">
        <v>2423</v>
      </c>
      <c r="B1187" s="167" t="str">
        <f>IFERROR(__xludf.DUMMYFUNCTION("GOOGLEFINANCE(A1187,""Name"")"),"Edwards Lifesciences Corp Bdr")</f>
        <v>Edwards Lifesciences Corp Bdr</v>
      </c>
      <c r="C1187" s="167" t="s">
        <v>54</v>
      </c>
      <c r="D1187" s="167" t="s">
        <v>2424</v>
      </c>
      <c r="E1187" s="167" t="s">
        <v>54</v>
      </c>
      <c r="F1187" s="167" t="s">
        <v>240</v>
      </c>
      <c r="G1187" s="167" t="s">
        <v>2134</v>
      </c>
    </row>
    <row r="1188">
      <c r="A1188" s="167" t="s">
        <v>2425</v>
      </c>
      <c r="B1188" s="167" t="str">
        <f>IFERROR(__xludf.DUMMYFUNCTION("GOOGLEFINANCE(A1188,""Name"")"),"#N/A")</f>
        <v>#N/A</v>
      </c>
      <c r="C1188" s="167" t="s">
        <v>54</v>
      </c>
      <c r="D1188" s="167" t="s">
        <v>2145</v>
      </c>
      <c r="E1188" s="167" t="s">
        <v>54</v>
      </c>
      <c r="F1188" s="167" t="s">
        <v>240</v>
      </c>
      <c r="G1188" s="167" t="s">
        <v>2134</v>
      </c>
    </row>
    <row r="1189">
      <c r="A1189" s="167" t="s">
        <v>2426</v>
      </c>
      <c r="B1189" s="167" t="str">
        <f>IFERROR(__xludf.DUMMYFUNCTION("GOOGLEFINANCE(A1189,""Name"")"),"Emerson Electric Co Bdr")</f>
        <v>Emerson Electric Co Bdr</v>
      </c>
      <c r="C1189" s="167" t="s">
        <v>54</v>
      </c>
      <c r="D1189" s="167" t="s">
        <v>2198</v>
      </c>
      <c r="E1189" s="167" t="s">
        <v>54</v>
      </c>
      <c r="F1189" s="167" t="s">
        <v>240</v>
      </c>
      <c r="G1189" s="167" t="s">
        <v>2134</v>
      </c>
    </row>
    <row r="1190">
      <c r="A1190" s="167" t="s">
        <v>2427</v>
      </c>
      <c r="B1190" s="167" t="str">
        <f>IFERROR(__xludf.DUMMYFUNCTION("GOOGLEFINANCE(A1190,""Name"")"),"#N/A")</f>
        <v>#N/A</v>
      </c>
      <c r="C1190" s="167" t="s">
        <v>54</v>
      </c>
      <c r="D1190" s="167" t="s">
        <v>2428</v>
      </c>
      <c r="E1190" s="167" t="s">
        <v>54</v>
      </c>
      <c r="F1190" s="167" t="s">
        <v>2252</v>
      </c>
      <c r="G1190" s="167" t="s">
        <v>2134</v>
      </c>
    </row>
    <row r="1191">
      <c r="A1191" s="167" t="s">
        <v>2429</v>
      </c>
      <c r="B1191" s="167" t="str">
        <f>IFERROR(__xludf.DUMMYFUNCTION("GOOGLEFINANCE(A1191,""Name"")"),"Entergy Corp Bdr")</f>
        <v>Entergy Corp Bdr</v>
      </c>
      <c r="C1191" s="167" t="s">
        <v>54</v>
      </c>
      <c r="D1191" s="167" t="s">
        <v>2153</v>
      </c>
      <c r="E1191" s="167" t="s">
        <v>54</v>
      </c>
      <c r="F1191" s="167" t="s">
        <v>240</v>
      </c>
      <c r="G1191" s="167" t="s">
        <v>2134</v>
      </c>
    </row>
    <row r="1192">
      <c r="A1192" s="167" t="s">
        <v>2430</v>
      </c>
      <c r="B1192" s="167" t="str">
        <f>IFERROR(__xludf.DUMMYFUNCTION("GOOGLEFINANCE(A1192,""Name"")"),"Eog Resources Inc Brazilian Depositary Receipt")</f>
        <v>Eog Resources Inc Brazilian Depositary Receipt</v>
      </c>
      <c r="C1192" s="167" t="s">
        <v>54</v>
      </c>
      <c r="D1192" s="167" t="s">
        <v>129</v>
      </c>
      <c r="E1192" s="167" t="s">
        <v>54</v>
      </c>
      <c r="F1192" s="167" t="s">
        <v>240</v>
      </c>
      <c r="G1192" s="167" t="s">
        <v>2134</v>
      </c>
    </row>
    <row r="1193">
      <c r="A1193" s="167" t="s">
        <v>2431</v>
      </c>
      <c r="B1193" s="167" t="str">
        <f>IFERROR(__xludf.DUMMYFUNCTION("GOOGLEFINANCE(A1193,""Name"")"),"#N/A")</f>
        <v>#N/A</v>
      </c>
      <c r="C1193" s="167" t="s">
        <v>54</v>
      </c>
      <c r="D1193" s="167" t="s">
        <v>2194</v>
      </c>
      <c r="E1193" s="167" t="s">
        <v>54</v>
      </c>
      <c r="F1193" s="167" t="s">
        <v>240</v>
      </c>
      <c r="G1193" s="167" t="s">
        <v>2134</v>
      </c>
    </row>
    <row r="1194">
      <c r="A1194" s="167" t="s">
        <v>2432</v>
      </c>
      <c r="B1194" s="167" t="str">
        <f>IFERROR(__xludf.DUMMYFUNCTION("GOOGLEFINANCE(A1194,""Name"")"),"Equinix Inc BDR")</f>
        <v>Equinix Inc BDR</v>
      </c>
      <c r="C1194" s="167" t="s">
        <v>54</v>
      </c>
      <c r="D1194" s="167" t="s">
        <v>2194</v>
      </c>
      <c r="E1194" s="167" t="s">
        <v>54</v>
      </c>
      <c r="F1194" s="167" t="s">
        <v>240</v>
      </c>
      <c r="G1194" s="167" t="s">
        <v>2134</v>
      </c>
    </row>
    <row r="1195">
      <c r="A1195" s="167" t="s">
        <v>2433</v>
      </c>
      <c r="B1195" s="167" t="str">
        <f>IFERROR(__xludf.DUMMYFUNCTION("GOOGLEFINANCE(A1195,""Name"")"),"Equinor Asa")</f>
        <v>Equinor Asa</v>
      </c>
      <c r="C1195" s="167" t="s">
        <v>54</v>
      </c>
      <c r="D1195" s="167" t="s">
        <v>2153</v>
      </c>
      <c r="E1195" s="167" t="s">
        <v>54</v>
      </c>
      <c r="F1195" s="167" t="s">
        <v>2434</v>
      </c>
      <c r="G1195" s="167" t="s">
        <v>2134</v>
      </c>
    </row>
    <row r="1196">
      <c r="A1196" s="167" t="s">
        <v>2435</v>
      </c>
      <c r="B1196" s="167" t="str">
        <f>IFERROR(__xludf.DUMMYFUNCTION("GOOGLEFINANCE(A1196,""Name"")"),"#N/A")</f>
        <v>#N/A</v>
      </c>
      <c r="C1196" s="167" t="s">
        <v>54</v>
      </c>
      <c r="D1196" s="167" t="s">
        <v>2163</v>
      </c>
      <c r="E1196" s="167" t="s">
        <v>54</v>
      </c>
      <c r="F1196" s="167" t="s">
        <v>240</v>
      </c>
      <c r="G1196" s="167" t="s">
        <v>2134</v>
      </c>
    </row>
    <row r="1197">
      <c r="A1197" s="167" t="s">
        <v>2436</v>
      </c>
      <c r="B1197" s="167" t="str">
        <f>IFERROR(__xludf.DUMMYFUNCTION("GOOGLEFINANCE(A1197,""Name"")"),"Ericsson Lm Telephone Co Bdr")</f>
        <v>Ericsson Lm Telephone Co Bdr</v>
      </c>
      <c r="C1197" s="167" t="s">
        <v>54</v>
      </c>
      <c r="D1197" s="167" t="s">
        <v>2186</v>
      </c>
      <c r="E1197" s="167" t="s">
        <v>54</v>
      </c>
      <c r="F1197" s="167" t="s">
        <v>2437</v>
      </c>
      <c r="G1197" s="167" t="s">
        <v>2134</v>
      </c>
    </row>
    <row r="1198">
      <c r="A1198" s="167" t="s">
        <v>2438</v>
      </c>
      <c r="B1198" s="167" t="str">
        <f>IFERROR(__xludf.DUMMYFUNCTION("GOOGLEFINANCE(A1198,""Name"")"),"Essex Property Trust Inc Bdr")</f>
        <v>Essex Property Trust Inc Bdr</v>
      </c>
      <c r="C1198" s="167" t="s">
        <v>54</v>
      </c>
      <c r="D1198" s="167" t="s">
        <v>2163</v>
      </c>
      <c r="E1198" s="167" t="s">
        <v>54</v>
      </c>
      <c r="F1198" s="167" t="s">
        <v>240</v>
      </c>
      <c r="G1198" s="167" t="s">
        <v>2134</v>
      </c>
    </row>
    <row r="1199">
      <c r="A1199" s="167" t="s">
        <v>2439</v>
      </c>
      <c r="B1199" s="167" t="str">
        <f>IFERROR(__xludf.DUMMYFUNCTION("GOOGLEFINANCE(A1199,""Name"")"),"Estee Lauder Companies Inc BDR")</f>
        <v>Estee Lauder Companies Inc BDR</v>
      </c>
      <c r="C1199" s="167" t="s">
        <v>54</v>
      </c>
      <c r="D1199" s="167" t="s">
        <v>2331</v>
      </c>
      <c r="E1199" s="167" t="s">
        <v>54</v>
      </c>
      <c r="F1199" s="167" t="s">
        <v>240</v>
      </c>
      <c r="G1199" s="167" t="s">
        <v>2134</v>
      </c>
    </row>
    <row r="1200">
      <c r="A1200" s="167" t="s">
        <v>2440</v>
      </c>
      <c r="B1200" s="167" t="str">
        <f>IFERROR(__xludf.DUMMYFUNCTION("GOOGLEFINANCE(A1200,""Name"")"),"Everest Group Ltd Bdr")</f>
        <v>Everest Group Ltd Bdr</v>
      </c>
      <c r="C1200" s="167" t="s">
        <v>54</v>
      </c>
      <c r="D1200" s="167" t="s">
        <v>2155</v>
      </c>
      <c r="E1200" s="167" t="s">
        <v>54</v>
      </c>
      <c r="F1200" s="167" t="s">
        <v>240</v>
      </c>
      <c r="G1200" s="167" t="s">
        <v>2134</v>
      </c>
    </row>
    <row r="1201">
      <c r="A1201" s="167" t="s">
        <v>2441</v>
      </c>
      <c r="B1201" s="167" t="str">
        <f>IFERROR(__xludf.DUMMYFUNCTION("GOOGLEFINANCE(A1201,""Name"")"),"Evergy Inc Bdr")</f>
        <v>Evergy Inc Bdr</v>
      </c>
      <c r="C1201" s="167" t="s">
        <v>54</v>
      </c>
      <c r="D1201" s="167" t="s">
        <v>2153</v>
      </c>
      <c r="E1201" s="167" t="s">
        <v>54</v>
      </c>
      <c r="F1201" s="167" t="s">
        <v>240</v>
      </c>
      <c r="G1201" s="167" t="s">
        <v>2134</v>
      </c>
    </row>
    <row r="1202">
      <c r="A1202" s="167" t="s">
        <v>2442</v>
      </c>
      <c r="B1202" s="167" t="str">
        <f>IFERROR(__xludf.DUMMYFUNCTION("GOOGLEFINANCE(A1202,""Name"")"),"Eversource Energy Bdr")</f>
        <v>Eversource Energy Bdr</v>
      </c>
      <c r="C1202" s="167" t="s">
        <v>54</v>
      </c>
      <c r="D1202" s="167" t="s">
        <v>2153</v>
      </c>
      <c r="E1202" s="167" t="s">
        <v>54</v>
      </c>
      <c r="F1202" s="167" t="s">
        <v>240</v>
      </c>
      <c r="G1202" s="167" t="s">
        <v>2134</v>
      </c>
    </row>
    <row r="1203">
      <c r="A1203" s="167" t="s">
        <v>2443</v>
      </c>
      <c r="B1203" s="167" t="str">
        <f>IFERROR(__xludf.DUMMYFUNCTION("GOOGLEFINANCE(A1203,""Name"")"),"#N/A")</f>
        <v>#N/A</v>
      </c>
      <c r="C1203" s="167" t="s">
        <v>54</v>
      </c>
      <c r="D1203" s="167" t="s">
        <v>2153</v>
      </c>
      <c r="E1203" s="167" t="s">
        <v>54</v>
      </c>
      <c r="F1203" s="167" t="s">
        <v>240</v>
      </c>
      <c r="G1203" s="167" t="s">
        <v>2134</v>
      </c>
    </row>
    <row r="1204">
      <c r="A1204" s="167" t="s">
        <v>2444</v>
      </c>
      <c r="B1204" s="167" t="str">
        <f>IFERROR(__xludf.DUMMYFUNCTION("GOOGLEFINANCE(A1204,""Name"")"),"Expedia Group Inc BDR")</f>
        <v>Expedia Group Inc BDR</v>
      </c>
      <c r="C1204" s="167" t="s">
        <v>54</v>
      </c>
      <c r="D1204" s="167" t="s">
        <v>2186</v>
      </c>
      <c r="E1204" s="167" t="s">
        <v>54</v>
      </c>
      <c r="F1204" s="167" t="s">
        <v>240</v>
      </c>
      <c r="G1204" s="167" t="s">
        <v>2134</v>
      </c>
    </row>
    <row r="1205">
      <c r="A1205" s="167" t="s">
        <v>2445</v>
      </c>
      <c r="B1205" s="167" t="str">
        <f>IFERROR(__xludf.DUMMYFUNCTION("GOOGLEFINANCE(A1205,""Name"")"),"Expeditors International Of Washington Inc Bdr")</f>
        <v>Expeditors International Of Washington Inc Bdr</v>
      </c>
      <c r="C1205" s="167" t="s">
        <v>54</v>
      </c>
      <c r="D1205" s="167" t="s">
        <v>1064</v>
      </c>
      <c r="E1205" s="167" t="s">
        <v>54</v>
      </c>
      <c r="F1205" s="167" t="s">
        <v>240</v>
      </c>
      <c r="G1205" s="167" t="s">
        <v>2134</v>
      </c>
    </row>
    <row r="1206">
      <c r="A1206" s="167" t="s">
        <v>2446</v>
      </c>
      <c r="B1206" s="167" t="str">
        <f>IFERROR(__xludf.DUMMYFUNCTION("GOOGLEFINANCE(A1206,""Name"")"),"Extra Space Storage Inc Bdr")</f>
        <v>Extra Space Storage Inc Bdr</v>
      </c>
      <c r="C1206" s="167" t="s">
        <v>54</v>
      </c>
      <c r="D1206" s="167" t="s">
        <v>2163</v>
      </c>
      <c r="E1206" s="167" t="s">
        <v>54</v>
      </c>
      <c r="F1206" s="167" t="s">
        <v>240</v>
      </c>
      <c r="G1206" s="167" t="s">
        <v>2134</v>
      </c>
    </row>
    <row r="1207">
      <c r="A1207" s="167" t="s">
        <v>2447</v>
      </c>
      <c r="B1207" s="167" t="str">
        <f>IFERROR(__xludf.DUMMYFUNCTION("GOOGLEFINANCE(A1207,""Name"")"),"Exxon Mobil Corp BDR")</f>
        <v>Exxon Mobil Corp BDR</v>
      </c>
      <c r="C1207" s="167" t="s">
        <v>54</v>
      </c>
      <c r="D1207" s="167" t="s">
        <v>2358</v>
      </c>
      <c r="E1207" s="167" t="s">
        <v>54</v>
      </c>
      <c r="F1207" s="167" t="s">
        <v>240</v>
      </c>
      <c r="G1207" s="167" t="s">
        <v>2134</v>
      </c>
    </row>
    <row r="1208">
      <c r="A1208" s="167" t="s">
        <v>2448</v>
      </c>
      <c r="B1208" s="167" t="str">
        <f>IFERROR(__xludf.DUMMYFUNCTION("GOOGLEFINANCE(A1208,""Name"")"),"F5 Networks Inc Bdr")</f>
        <v>F5 Networks Inc Bdr</v>
      </c>
      <c r="C1208" s="167" t="s">
        <v>54</v>
      </c>
      <c r="D1208" s="167" t="s">
        <v>2145</v>
      </c>
      <c r="E1208" s="167" t="s">
        <v>54</v>
      </c>
      <c r="F1208" s="167" t="s">
        <v>240</v>
      </c>
      <c r="G1208" s="167" t="s">
        <v>2134</v>
      </c>
    </row>
    <row r="1209">
      <c r="A1209" s="167" t="s">
        <v>2449</v>
      </c>
      <c r="B1209" s="167" t="str">
        <f>IFERROR(__xludf.DUMMYFUNCTION("GOOGLEFINANCE(A1209,""Name"")"),"#N/A")</f>
        <v>#N/A</v>
      </c>
      <c r="C1209" s="167" t="s">
        <v>54</v>
      </c>
      <c r="D1209" s="167" t="s">
        <v>2145</v>
      </c>
      <c r="E1209" s="167" t="s">
        <v>54</v>
      </c>
      <c r="F1209" s="167" t="s">
        <v>240</v>
      </c>
      <c r="G1209" s="167" t="s">
        <v>2134</v>
      </c>
    </row>
    <row r="1210">
      <c r="A1210" s="167" t="s">
        <v>2450</v>
      </c>
      <c r="B1210" s="167" t="str">
        <f>IFERROR(__xludf.DUMMYFUNCTION("GOOGLEFINANCE(A1210,""Name"")"),"Fastenal Co BDR")</f>
        <v>Fastenal Co BDR</v>
      </c>
      <c r="C1210" s="167" t="s">
        <v>54</v>
      </c>
      <c r="D1210" s="167" t="s">
        <v>475</v>
      </c>
      <c r="E1210" s="167" t="s">
        <v>54</v>
      </c>
      <c r="F1210" s="167" t="s">
        <v>240</v>
      </c>
      <c r="G1210" s="167" t="s">
        <v>2134</v>
      </c>
    </row>
    <row r="1211">
      <c r="A1211" s="167" t="s">
        <v>2451</v>
      </c>
      <c r="B1211" s="167" t="str">
        <f>IFERROR(__xludf.DUMMYFUNCTION("GOOGLEFINANCE(A1211,""Name"")"),"Fastly Inc Bdr")</f>
        <v>Fastly Inc Bdr</v>
      </c>
      <c r="C1211" s="167" t="s">
        <v>54</v>
      </c>
      <c r="D1211" s="167" t="s">
        <v>2145</v>
      </c>
      <c r="E1211" s="167" t="s">
        <v>54</v>
      </c>
      <c r="F1211" s="167" t="s">
        <v>240</v>
      </c>
      <c r="G1211" s="167" t="s">
        <v>2134</v>
      </c>
    </row>
    <row r="1212">
      <c r="A1212" s="167" t="s">
        <v>2452</v>
      </c>
      <c r="B1212" s="167" t="str">
        <f>IFERROR(__xludf.DUMMYFUNCTION("GOOGLEFINANCE(A1212,""Name"")"),"#N/A")</f>
        <v>#N/A</v>
      </c>
      <c r="C1212" s="167" t="s">
        <v>54</v>
      </c>
      <c r="D1212" s="167" t="s">
        <v>2163</v>
      </c>
      <c r="E1212" s="167" t="s">
        <v>54</v>
      </c>
      <c r="F1212" s="167" t="s">
        <v>240</v>
      </c>
      <c r="G1212" s="167" t="s">
        <v>2134</v>
      </c>
    </row>
    <row r="1213">
      <c r="A1213" s="167" t="s">
        <v>2453</v>
      </c>
      <c r="B1213" s="167" t="str">
        <f>IFERROR(__xludf.DUMMYFUNCTION("GOOGLEFINANCE(A1213,""Name"")"),"Fidelity National Information Services Inc Brazilian Depositary Receipt")</f>
        <v>Fidelity National Information Services Inc Brazilian Depositary Receipt</v>
      </c>
      <c r="C1213" s="167" t="s">
        <v>54</v>
      </c>
      <c r="D1213" s="167" t="s">
        <v>2145</v>
      </c>
      <c r="E1213" s="167" t="s">
        <v>54</v>
      </c>
      <c r="F1213" s="167" t="s">
        <v>240</v>
      </c>
      <c r="G1213" s="167" t="s">
        <v>2134</v>
      </c>
    </row>
    <row r="1214">
      <c r="A1214" s="167" t="s">
        <v>2454</v>
      </c>
      <c r="B1214" s="167" t="str">
        <f>IFERROR(__xludf.DUMMYFUNCTION("GOOGLEFINANCE(A1214,""Name"")"),"Fifth Third Bancorp BDR")</f>
        <v>Fifth Third Bancorp BDR</v>
      </c>
      <c r="C1214" s="167" t="s">
        <v>54</v>
      </c>
      <c r="D1214" s="167" t="s">
        <v>2194</v>
      </c>
      <c r="E1214" s="167" t="s">
        <v>54</v>
      </c>
      <c r="F1214" s="167" t="s">
        <v>240</v>
      </c>
      <c r="G1214" s="167" t="s">
        <v>2134</v>
      </c>
    </row>
    <row r="1215">
      <c r="A1215" s="167" t="s">
        <v>2455</v>
      </c>
      <c r="B1215" s="167" t="str">
        <f>IFERROR(__xludf.DUMMYFUNCTION("GOOGLEFINANCE(A1215,""Name"")"),"#N/A")</f>
        <v>#N/A</v>
      </c>
      <c r="C1215" s="167" t="s">
        <v>54</v>
      </c>
      <c r="D1215" s="167" t="s">
        <v>2194</v>
      </c>
      <c r="E1215" s="167" t="s">
        <v>54</v>
      </c>
      <c r="F1215" s="167" t="s">
        <v>240</v>
      </c>
      <c r="G1215" s="167" t="s">
        <v>2134</v>
      </c>
    </row>
    <row r="1216">
      <c r="A1216" s="167" t="s">
        <v>2456</v>
      </c>
      <c r="B1216" s="167" t="str">
        <f>IFERROR(__xludf.DUMMYFUNCTION("GOOGLEFINANCE(A1216,""Name"")"),"First Solar Inc BDR")</f>
        <v>First Solar Inc BDR</v>
      </c>
      <c r="C1216" s="167" t="s">
        <v>54</v>
      </c>
      <c r="D1216" s="167" t="s">
        <v>277</v>
      </c>
      <c r="E1216" s="167" t="s">
        <v>54</v>
      </c>
      <c r="F1216" s="167" t="s">
        <v>240</v>
      </c>
      <c r="G1216" s="167" t="s">
        <v>2134</v>
      </c>
    </row>
    <row r="1217">
      <c r="A1217" s="167" t="s">
        <v>2457</v>
      </c>
      <c r="B1217" s="167" t="str">
        <f>IFERROR(__xludf.DUMMYFUNCTION("GOOGLEFINANCE(A1217,""Name"")"),"Firstenergy Corp Brazilian Depositary Receipt")</f>
        <v>Firstenergy Corp Brazilian Depositary Receipt</v>
      </c>
      <c r="C1217" s="167" t="s">
        <v>54</v>
      </c>
      <c r="D1217" s="167" t="s">
        <v>2153</v>
      </c>
      <c r="E1217" s="167" t="s">
        <v>54</v>
      </c>
      <c r="F1217" s="167" t="s">
        <v>240</v>
      </c>
      <c r="G1217" s="167" t="s">
        <v>2134</v>
      </c>
    </row>
    <row r="1218">
      <c r="A1218" s="167" t="s">
        <v>2458</v>
      </c>
      <c r="B1218" s="167" t="str">
        <f>IFERROR(__xludf.DUMMYFUNCTION("GOOGLEFINANCE(A1218,""Name"")"),"Fiserv Inc Brazilian Depositary Receipt")</f>
        <v>Fiserv Inc Brazilian Depositary Receipt</v>
      </c>
      <c r="C1218" s="167" t="s">
        <v>54</v>
      </c>
      <c r="D1218" s="167" t="s">
        <v>2257</v>
      </c>
      <c r="E1218" s="167" t="s">
        <v>54</v>
      </c>
      <c r="F1218" s="167" t="s">
        <v>240</v>
      </c>
      <c r="G1218" s="167" t="s">
        <v>2134</v>
      </c>
    </row>
    <row r="1219">
      <c r="A1219" s="167" t="s">
        <v>2459</v>
      </c>
      <c r="B1219" s="167" t="str">
        <f>IFERROR(__xludf.DUMMYFUNCTION("GOOGLEFINANCE(A1219,""Name"")"),"#N/A")</f>
        <v>#N/A</v>
      </c>
      <c r="C1219" s="167" t="s">
        <v>54</v>
      </c>
      <c r="D1219" s="167" t="s">
        <v>2194</v>
      </c>
      <c r="E1219" s="167" t="s">
        <v>54</v>
      </c>
      <c r="F1219" s="167" t="s">
        <v>240</v>
      </c>
      <c r="G1219" s="167" t="s">
        <v>2134</v>
      </c>
    </row>
    <row r="1220">
      <c r="A1220" s="167" t="s">
        <v>2460</v>
      </c>
      <c r="B1220" s="167" t="str">
        <f>IFERROR(__xludf.DUMMYFUNCTION("GOOGLEFINANCE(A1220,""Name"")"),"#N/A")</f>
        <v>#N/A</v>
      </c>
      <c r="C1220" s="167" t="s">
        <v>54</v>
      </c>
      <c r="D1220" s="167" t="s">
        <v>2461</v>
      </c>
      <c r="E1220" s="167" t="s">
        <v>54</v>
      </c>
      <c r="F1220" s="167" t="s">
        <v>240</v>
      </c>
      <c r="G1220" s="167" t="s">
        <v>2134</v>
      </c>
    </row>
    <row r="1221">
      <c r="A1221" s="167" t="s">
        <v>2462</v>
      </c>
      <c r="B1221" s="167" t="str">
        <f>IFERROR(__xludf.DUMMYFUNCTION("GOOGLEFINANCE(A1221,""Name"")"),"Flowserve Corp Bdr")</f>
        <v>Flowserve Corp Bdr</v>
      </c>
      <c r="C1221" s="167" t="s">
        <v>54</v>
      </c>
      <c r="D1221" s="167" t="s">
        <v>2405</v>
      </c>
      <c r="E1221" s="167" t="s">
        <v>54</v>
      </c>
      <c r="F1221" s="167" t="s">
        <v>240</v>
      </c>
      <c r="G1221" s="167" t="s">
        <v>2134</v>
      </c>
    </row>
    <row r="1222">
      <c r="A1222" s="167" t="s">
        <v>2463</v>
      </c>
      <c r="B1222" s="167" t="str">
        <f>IFERROR(__xludf.DUMMYFUNCTION("GOOGLEFINANCE(A1222,""Name"")"),"Fmc Corp Bdr")</f>
        <v>Fmc Corp Bdr</v>
      </c>
      <c r="C1222" s="167" t="s">
        <v>54</v>
      </c>
      <c r="D1222" s="167" t="s">
        <v>205</v>
      </c>
      <c r="E1222" s="167" t="s">
        <v>54</v>
      </c>
      <c r="F1222" s="167" t="s">
        <v>240</v>
      </c>
      <c r="G1222" s="167" t="s">
        <v>2134</v>
      </c>
    </row>
    <row r="1223">
      <c r="A1223" s="167" t="s">
        <v>2464</v>
      </c>
      <c r="B1223" s="167" t="str">
        <f>IFERROR(__xludf.DUMMYFUNCTION("GOOGLEFINANCE(A1223,""Name"")"),"Ford Motors BDR")</f>
        <v>Ford Motors BDR</v>
      </c>
      <c r="C1223" s="167" t="s">
        <v>54</v>
      </c>
      <c r="D1223" s="167" t="s">
        <v>2276</v>
      </c>
      <c r="E1223" s="167" t="s">
        <v>54</v>
      </c>
      <c r="F1223" s="167" t="s">
        <v>240</v>
      </c>
      <c r="G1223" s="167" t="s">
        <v>2134</v>
      </c>
    </row>
    <row r="1224">
      <c r="A1224" s="167" t="s">
        <v>2465</v>
      </c>
      <c r="B1224" s="167" t="str">
        <f>IFERROR(__xludf.DUMMYFUNCTION("GOOGLEFINANCE(A1224,""Name"")"),"Fortinet Inc Bdr")</f>
        <v>Fortinet Inc Bdr</v>
      </c>
      <c r="C1224" s="167" t="s">
        <v>54</v>
      </c>
      <c r="D1224" s="167" t="s">
        <v>2145</v>
      </c>
      <c r="E1224" s="167" t="s">
        <v>54</v>
      </c>
      <c r="F1224" s="167" t="s">
        <v>240</v>
      </c>
      <c r="G1224" s="167" t="s">
        <v>2134</v>
      </c>
    </row>
    <row r="1225">
      <c r="A1225" s="167" t="s">
        <v>2466</v>
      </c>
      <c r="B1225" s="167" t="str">
        <f>IFERROR(__xludf.DUMMYFUNCTION("GOOGLEFINANCE(A1225,""Name"")"),"Fortive Corp Bdr")</f>
        <v>Fortive Corp Bdr</v>
      </c>
      <c r="C1225" s="167" t="s">
        <v>54</v>
      </c>
      <c r="D1225" s="167" t="s">
        <v>2467</v>
      </c>
      <c r="E1225" s="167" t="s">
        <v>54</v>
      </c>
      <c r="F1225" s="167" t="s">
        <v>240</v>
      </c>
      <c r="G1225" s="167" t="s">
        <v>2134</v>
      </c>
    </row>
    <row r="1226">
      <c r="A1226" s="167" t="s">
        <v>2468</v>
      </c>
      <c r="B1226" s="167" t="str">
        <f>IFERROR(__xludf.DUMMYFUNCTION("GOOGLEFINANCE(A1226,""Name"")"),"Fortune Brands Innovations Bdr")</f>
        <v>Fortune Brands Innovations Bdr</v>
      </c>
      <c r="C1226" s="167" t="s">
        <v>54</v>
      </c>
      <c r="D1226" s="167" t="s">
        <v>2469</v>
      </c>
      <c r="E1226" s="167" t="s">
        <v>54</v>
      </c>
      <c r="F1226" s="167" t="s">
        <v>240</v>
      </c>
      <c r="G1226" s="167" t="s">
        <v>2134</v>
      </c>
    </row>
    <row r="1227">
      <c r="A1227" s="167" t="s">
        <v>2470</v>
      </c>
      <c r="B1227" s="167" t="str">
        <f>IFERROR(__xludf.DUMMYFUNCTION("GOOGLEFINANCE(A1227,""Name"")"),"FOX CORP - CLASS A BDR")</f>
        <v>FOX CORP - CLASS A BDR</v>
      </c>
      <c r="C1227" s="167" t="s">
        <v>54</v>
      </c>
      <c r="D1227" s="167" t="s">
        <v>2186</v>
      </c>
      <c r="E1227" s="167" t="s">
        <v>54</v>
      </c>
      <c r="F1227" s="167" t="s">
        <v>240</v>
      </c>
      <c r="G1227" s="167" t="s">
        <v>2134</v>
      </c>
    </row>
    <row r="1228">
      <c r="A1228" s="167" t="s">
        <v>2471</v>
      </c>
      <c r="B1228" s="167" t="str">
        <f>IFERROR(__xludf.DUMMYFUNCTION("GOOGLEFINANCE(A1228,""Name"")"),"Franklin Templeton Inc Bdr")</f>
        <v>Franklin Templeton Inc Bdr</v>
      </c>
      <c r="C1228" s="167" t="s">
        <v>54</v>
      </c>
      <c r="D1228" s="167" t="s">
        <v>2194</v>
      </c>
      <c r="E1228" s="167" t="s">
        <v>54</v>
      </c>
      <c r="F1228" s="167" t="s">
        <v>240</v>
      </c>
      <c r="G1228" s="167" t="s">
        <v>2134</v>
      </c>
    </row>
    <row r="1229">
      <c r="A1229" s="167" t="s">
        <v>2472</v>
      </c>
      <c r="B1229" s="167" t="str">
        <f>IFERROR(__xludf.DUMMYFUNCTION("GOOGLEFINANCE(A1229,""Name"")"),"Freeport Mcmoran Copper Gold Inc BDR")</f>
        <v>Freeport Mcmoran Copper Gold Inc BDR</v>
      </c>
      <c r="C1229" s="167" t="s">
        <v>54</v>
      </c>
      <c r="D1229" s="167" t="s">
        <v>2473</v>
      </c>
      <c r="E1229" s="167" t="s">
        <v>54</v>
      </c>
      <c r="F1229" s="167" t="s">
        <v>240</v>
      </c>
      <c r="G1229" s="167" t="s">
        <v>2134</v>
      </c>
    </row>
    <row r="1230">
      <c r="A1230" s="167" t="s">
        <v>2474</v>
      </c>
      <c r="B1230" s="167" t="str">
        <f>IFERROR(__xludf.DUMMYFUNCTION("GOOGLEFINANCE(A1230,""Name"")"),"Fresenius Med Care Ag &amp; Co Kgaa Bdr")</f>
        <v>Fresenius Med Care Ag &amp; Co Kgaa Bdr</v>
      </c>
      <c r="C1230" s="167" t="s">
        <v>54</v>
      </c>
      <c r="D1230" s="167" t="s">
        <v>675</v>
      </c>
      <c r="E1230" s="167" t="s">
        <v>54</v>
      </c>
      <c r="F1230" s="167" t="s">
        <v>2389</v>
      </c>
      <c r="G1230" s="167" t="s">
        <v>2134</v>
      </c>
    </row>
    <row r="1231">
      <c r="A1231" s="167" t="s">
        <v>2475</v>
      </c>
      <c r="B1231" s="167" t="str">
        <f>IFERROR(__xludf.DUMMYFUNCTION("GOOGLEFINANCE(A1231,""Name"")"),"#N/A")</f>
        <v>#N/A</v>
      </c>
      <c r="C1231" s="167" t="s">
        <v>54</v>
      </c>
      <c r="D1231" s="167" t="s">
        <v>2176</v>
      </c>
      <c r="E1231" s="167" t="s">
        <v>54</v>
      </c>
      <c r="F1231" s="167" t="s">
        <v>2476</v>
      </c>
      <c r="G1231" s="167" t="s">
        <v>2134</v>
      </c>
    </row>
    <row r="1232">
      <c r="A1232" s="167" t="s">
        <v>2477</v>
      </c>
      <c r="B1232" s="167" t="str">
        <f>IFERROR(__xludf.DUMMYFUNCTION("GOOGLEFINANCE(A1232,""Name"")"),"The Gap Inc BDR")</f>
        <v>The Gap Inc BDR</v>
      </c>
      <c r="C1232" s="167" t="s">
        <v>54</v>
      </c>
      <c r="D1232" s="167" t="s">
        <v>524</v>
      </c>
      <c r="E1232" s="167" t="s">
        <v>54</v>
      </c>
      <c r="F1232" s="167" t="s">
        <v>240</v>
      </c>
      <c r="G1232" s="167" t="s">
        <v>2134</v>
      </c>
    </row>
    <row r="1233">
      <c r="A1233" s="167" t="s">
        <v>2478</v>
      </c>
      <c r="B1233" s="167" t="str">
        <f>IFERROR(__xludf.DUMMYFUNCTION("GOOGLEFINANCE(A1233,""Name"")"),"Garmin Ltd Bdr")</f>
        <v>Garmin Ltd Bdr</v>
      </c>
      <c r="C1233" s="167" t="s">
        <v>54</v>
      </c>
      <c r="D1233" s="167" t="s">
        <v>2145</v>
      </c>
      <c r="E1233" s="167" t="s">
        <v>54</v>
      </c>
      <c r="F1233" s="167" t="s">
        <v>240</v>
      </c>
      <c r="G1233" s="167" t="s">
        <v>2134</v>
      </c>
    </row>
    <row r="1234">
      <c r="A1234" s="167" t="s">
        <v>2479</v>
      </c>
      <c r="B1234" s="167" t="str">
        <f>IFERROR(__xludf.DUMMYFUNCTION("GOOGLEFINANCE(A1234,""Name"")"),"Gartner Inc Bdr")</f>
        <v>Gartner Inc Bdr</v>
      </c>
      <c r="C1234" s="167" t="s">
        <v>54</v>
      </c>
      <c r="D1234" s="167" t="s">
        <v>2480</v>
      </c>
      <c r="E1234" s="167" t="s">
        <v>54</v>
      </c>
      <c r="F1234" s="167" t="s">
        <v>240</v>
      </c>
      <c r="G1234" s="167" t="s">
        <v>2134</v>
      </c>
    </row>
    <row r="1235">
      <c r="A1235" s="167" t="s">
        <v>2481</v>
      </c>
      <c r="B1235" s="167" t="str">
        <f>IFERROR(__xludf.DUMMYFUNCTION("GOOGLEFINANCE(A1235,""Name"")"),"Gds Holdings Ltd Bdr")</f>
        <v>Gds Holdings Ltd Bdr</v>
      </c>
      <c r="C1235" s="167" t="s">
        <v>54</v>
      </c>
      <c r="D1235" s="167" t="s">
        <v>2186</v>
      </c>
      <c r="E1235" s="167" t="s">
        <v>54</v>
      </c>
      <c r="F1235" s="167" t="s">
        <v>2167</v>
      </c>
      <c r="G1235" s="167" t="s">
        <v>2134</v>
      </c>
    </row>
    <row r="1236">
      <c r="A1236" s="167" t="s">
        <v>2482</v>
      </c>
      <c r="B1236" s="167" t="str">
        <f>IFERROR(__xludf.DUMMYFUNCTION("GOOGLEFINANCE(A1236,""Name"")"),"Ge Aerospace BDR")</f>
        <v>Ge Aerospace BDR</v>
      </c>
      <c r="C1236" s="167" t="s">
        <v>54</v>
      </c>
      <c r="D1236" s="167" t="s">
        <v>2483</v>
      </c>
      <c r="E1236" s="167" t="s">
        <v>54</v>
      </c>
      <c r="F1236" s="167" t="s">
        <v>240</v>
      </c>
      <c r="G1236" s="167" t="s">
        <v>2134</v>
      </c>
    </row>
    <row r="1237">
      <c r="A1237" s="167" t="s">
        <v>2484</v>
      </c>
      <c r="B1237" s="167" t="str">
        <f>IFERROR(__xludf.DUMMYFUNCTION("GOOGLEFINANCE(A1237,""Name"")"),"General Mills Inc Bdr")</f>
        <v>General Mills Inc Bdr</v>
      </c>
      <c r="C1237" s="167" t="s">
        <v>54</v>
      </c>
      <c r="D1237" s="167" t="s">
        <v>476</v>
      </c>
      <c r="E1237" s="167" t="s">
        <v>54</v>
      </c>
      <c r="F1237" s="167" t="s">
        <v>240</v>
      </c>
      <c r="G1237" s="167" t="s">
        <v>2134</v>
      </c>
    </row>
    <row r="1238">
      <c r="A1238" s="167" t="s">
        <v>2485</v>
      </c>
      <c r="B1238" s="167" t="str">
        <f>IFERROR(__xludf.DUMMYFUNCTION("GOOGLEFINANCE(A1238,""Name"")"),"General Motors Company BDR")</f>
        <v>General Motors Company BDR</v>
      </c>
      <c r="C1238" s="167" t="s">
        <v>54</v>
      </c>
      <c r="D1238" s="167" t="s">
        <v>585</v>
      </c>
      <c r="E1238" s="167" t="s">
        <v>54</v>
      </c>
      <c r="F1238" s="167" t="s">
        <v>240</v>
      </c>
      <c r="G1238" s="167" t="s">
        <v>2134</v>
      </c>
    </row>
    <row r="1239">
      <c r="A1239" s="167" t="s">
        <v>2486</v>
      </c>
      <c r="B1239" s="167" t="str">
        <f>IFERROR(__xludf.DUMMYFUNCTION("GOOGLEFINANCE(A1239,""Name"")"),"Genuine Parts Co Bdr")</f>
        <v>Genuine Parts Co Bdr</v>
      </c>
      <c r="C1239" s="167" t="s">
        <v>54</v>
      </c>
      <c r="D1239" s="167" t="s">
        <v>1051</v>
      </c>
      <c r="E1239" s="167" t="s">
        <v>54</v>
      </c>
      <c r="F1239" s="167" t="s">
        <v>240</v>
      </c>
      <c r="G1239" s="167" t="s">
        <v>2134</v>
      </c>
    </row>
    <row r="1240">
      <c r="A1240" s="167" t="s">
        <v>2487</v>
      </c>
      <c r="B1240" s="167" t="str">
        <f>IFERROR(__xludf.DUMMYFUNCTION("GOOGLEFINANCE(A1240,""Name"")"),"Geopark Ltd BDR")</f>
        <v>Geopark Ltd BDR</v>
      </c>
      <c r="C1240" s="167" t="s">
        <v>54</v>
      </c>
      <c r="D1240" s="167" t="s">
        <v>2153</v>
      </c>
      <c r="E1240" s="167" t="s">
        <v>54</v>
      </c>
      <c r="F1240" s="167" t="s">
        <v>2252</v>
      </c>
      <c r="G1240" s="167" t="s">
        <v>2134</v>
      </c>
    </row>
    <row r="1241">
      <c r="A1241" s="167" t="s">
        <v>2488</v>
      </c>
      <c r="B1241" s="167" t="str">
        <f>IFERROR(__xludf.DUMMYFUNCTION("GOOGLEFINANCE(A1241,""Name"")"),"Gilead Sciences Inc BDR")</f>
        <v>Gilead Sciences Inc BDR</v>
      </c>
      <c r="C1241" s="167" t="s">
        <v>54</v>
      </c>
      <c r="D1241" s="167" t="s">
        <v>245</v>
      </c>
      <c r="E1241" s="167" t="s">
        <v>54</v>
      </c>
      <c r="F1241" s="167" t="s">
        <v>240</v>
      </c>
      <c r="G1241" s="167" t="s">
        <v>2134</v>
      </c>
    </row>
    <row r="1242">
      <c r="A1242" s="167" t="s">
        <v>2489</v>
      </c>
      <c r="B1242" s="167" t="str">
        <f>IFERROR(__xludf.DUMMYFUNCTION("GOOGLEFINANCE(A1242,""Name"")"),"Gsk Plc Bdr")</f>
        <v>Gsk Plc Bdr</v>
      </c>
      <c r="C1242" s="167" t="s">
        <v>54</v>
      </c>
      <c r="D1242" s="167" t="s">
        <v>2176</v>
      </c>
      <c r="E1242" s="167" t="s">
        <v>54</v>
      </c>
      <c r="F1242" s="167" t="s">
        <v>2236</v>
      </c>
      <c r="G1242" s="167" t="s">
        <v>2134</v>
      </c>
    </row>
    <row r="1243">
      <c r="A1243" s="167" t="s">
        <v>2490</v>
      </c>
      <c r="B1243" s="167" t="str">
        <f>IFERROR(__xludf.DUMMYFUNCTION("GOOGLEFINANCE(A1243,""Name"")"),"Global Payments Inc Bdr")</f>
        <v>Global Payments Inc Bdr</v>
      </c>
      <c r="C1243" s="167" t="s">
        <v>54</v>
      </c>
      <c r="D1243" s="167" t="s">
        <v>2145</v>
      </c>
      <c r="E1243" s="167" t="s">
        <v>54</v>
      </c>
      <c r="F1243" s="167" t="s">
        <v>240</v>
      </c>
      <c r="G1243" s="167" t="s">
        <v>2134</v>
      </c>
    </row>
    <row r="1244">
      <c r="A1244" s="167" t="s">
        <v>2491</v>
      </c>
      <c r="B1244" s="167" t="str">
        <f>IFERROR(__xludf.DUMMYFUNCTION("GOOGLEFINANCE(A1244,""Name"")"),"Globe Life Inc Bdr")</f>
        <v>Globe Life Inc Bdr</v>
      </c>
      <c r="C1244" s="167" t="s">
        <v>54</v>
      </c>
      <c r="D1244" s="167" t="s">
        <v>2194</v>
      </c>
      <c r="E1244" s="167" t="s">
        <v>54</v>
      </c>
      <c r="F1244" s="167" t="s">
        <v>240</v>
      </c>
      <c r="G1244" s="167" t="s">
        <v>2134</v>
      </c>
    </row>
    <row r="1245">
      <c r="A1245" s="167" t="s">
        <v>2492</v>
      </c>
      <c r="B1245" s="167" t="str">
        <f>IFERROR(__xludf.DUMMYFUNCTION("GOOGLEFINANCE(A1245,""Name"")"),"Gold Fields Ltd Bdr")</f>
        <v>Gold Fields Ltd Bdr</v>
      </c>
      <c r="C1245" s="167" t="s">
        <v>54</v>
      </c>
      <c r="D1245" s="167" t="s">
        <v>159</v>
      </c>
      <c r="E1245" s="167" t="s">
        <v>54</v>
      </c>
      <c r="F1245" s="167" t="s">
        <v>2205</v>
      </c>
      <c r="G1245" s="167" t="s">
        <v>2134</v>
      </c>
    </row>
    <row r="1246">
      <c r="A1246" s="167" t="s">
        <v>2493</v>
      </c>
      <c r="B1246" s="167" t="str">
        <f>IFERROR(__xludf.DUMMYFUNCTION("GOOGLEFINANCE(A1246,""Name"")"),"Goldman Sachs Group BDR")</f>
        <v>Goldman Sachs Group BDR</v>
      </c>
      <c r="C1246" s="167" t="s">
        <v>54</v>
      </c>
      <c r="D1246" s="167" t="s">
        <v>2494</v>
      </c>
      <c r="E1246" s="167" t="s">
        <v>54</v>
      </c>
      <c r="F1246" s="167" t="s">
        <v>240</v>
      </c>
      <c r="G1246" s="167" t="s">
        <v>2134</v>
      </c>
    </row>
    <row r="1247">
      <c r="A1247" s="167" t="s">
        <v>2495</v>
      </c>
      <c r="B1247" s="167" t="str">
        <f>IFERROR(__xludf.DUMMYFUNCTION("GOOGLEFINANCE(A1247,""Name"")"),"Gopro Inc BDR")</f>
        <v>Gopro Inc BDR</v>
      </c>
      <c r="C1247" s="167" t="s">
        <v>54</v>
      </c>
      <c r="D1247" s="167" t="s">
        <v>716</v>
      </c>
      <c r="E1247" s="167" t="s">
        <v>54</v>
      </c>
      <c r="F1247" s="167" t="s">
        <v>240</v>
      </c>
      <c r="G1247" s="167" t="s">
        <v>2134</v>
      </c>
    </row>
    <row r="1248">
      <c r="A1248" s="167" t="s">
        <v>2496</v>
      </c>
      <c r="B1248" s="167" t="str">
        <f>IFERROR(__xludf.DUMMYFUNCTION("GOOGLEFINANCE(A1248,""Name"")"),"Her Block Inc Bdr")</f>
        <v>Her Block Inc Bdr</v>
      </c>
      <c r="C1248" s="167" t="s">
        <v>54</v>
      </c>
      <c r="D1248" s="167" t="s">
        <v>2194</v>
      </c>
      <c r="E1248" s="167" t="s">
        <v>54</v>
      </c>
      <c r="F1248" s="167" t="s">
        <v>240</v>
      </c>
      <c r="G1248" s="167" t="s">
        <v>2134</v>
      </c>
    </row>
    <row r="1249">
      <c r="A1249" s="167" t="s">
        <v>2497</v>
      </c>
      <c r="B1249" s="167" t="str">
        <f>IFERROR(__xludf.DUMMYFUNCTION("GOOGLEFINANCE(A1249,""Name"")"),"Halliburton Company BDR")</f>
        <v>Halliburton Company BDR</v>
      </c>
      <c r="C1249" s="167" t="s">
        <v>54</v>
      </c>
      <c r="D1249" s="167" t="s">
        <v>2498</v>
      </c>
      <c r="E1249" s="167" t="s">
        <v>54</v>
      </c>
      <c r="F1249" s="167" t="s">
        <v>240</v>
      </c>
      <c r="G1249" s="167" t="s">
        <v>2134</v>
      </c>
    </row>
    <row r="1250">
      <c r="A1250" s="167" t="s">
        <v>2499</v>
      </c>
      <c r="B1250" s="167" t="str">
        <f>IFERROR(__xludf.DUMMYFUNCTION("GOOGLEFINANCE(A1250,""Name"")"),"#N/A")</f>
        <v>#N/A</v>
      </c>
      <c r="C1250" s="167" t="s">
        <v>54</v>
      </c>
      <c r="D1250" s="167" t="s">
        <v>2500</v>
      </c>
      <c r="E1250" s="167" t="s">
        <v>54</v>
      </c>
      <c r="F1250" s="167" t="s">
        <v>240</v>
      </c>
      <c r="G1250" s="167" t="s">
        <v>2134</v>
      </c>
    </row>
    <row r="1251">
      <c r="A1251" s="167" t="s">
        <v>2501</v>
      </c>
      <c r="B1251" s="167" t="str">
        <f>IFERROR(__xludf.DUMMYFUNCTION("GOOGLEFINANCE(A1251,""Name"")"),"Hanover Insurance Group Inc BDR")</f>
        <v>Hanover Insurance Group Inc BDR</v>
      </c>
      <c r="C1251" s="167" t="s">
        <v>54</v>
      </c>
      <c r="D1251" s="167" t="s">
        <v>2194</v>
      </c>
      <c r="E1251" s="167" t="s">
        <v>54</v>
      </c>
      <c r="F1251" s="167" t="s">
        <v>240</v>
      </c>
      <c r="G1251" s="167" t="s">
        <v>2134</v>
      </c>
    </row>
    <row r="1252">
      <c r="A1252" s="167" t="s">
        <v>2502</v>
      </c>
      <c r="B1252" s="167" t="str">
        <f>IFERROR(__xludf.DUMMYFUNCTION("GOOGLEFINANCE(A1252,""Name"")"),"Harley-Davidson Inc Bdr")</f>
        <v>Harley-Davidson Inc Bdr</v>
      </c>
      <c r="C1252" s="167" t="s">
        <v>54</v>
      </c>
      <c r="D1252" s="167" t="s">
        <v>2503</v>
      </c>
      <c r="E1252" s="167" t="s">
        <v>54</v>
      </c>
      <c r="F1252" s="167" t="s">
        <v>240</v>
      </c>
      <c r="G1252" s="167" t="s">
        <v>2134</v>
      </c>
    </row>
    <row r="1253">
      <c r="A1253" s="167" t="s">
        <v>2504</v>
      </c>
      <c r="B1253" s="167" t="str">
        <f>IFERROR(__xludf.DUMMYFUNCTION("GOOGLEFINANCE(A1253,""Name"")"),"The Hartford Insurance Group Inc Bdr")</f>
        <v>The Hartford Insurance Group Inc Bdr</v>
      </c>
      <c r="C1253" s="167" t="s">
        <v>54</v>
      </c>
      <c r="D1253" s="167" t="s">
        <v>2194</v>
      </c>
      <c r="E1253" s="167" t="s">
        <v>54</v>
      </c>
      <c r="F1253" s="167" t="s">
        <v>240</v>
      </c>
      <c r="G1253" s="167" t="s">
        <v>2134</v>
      </c>
    </row>
    <row r="1254">
      <c r="A1254" s="167" t="s">
        <v>2505</v>
      </c>
      <c r="B1254" s="167" t="str">
        <f>IFERROR(__xludf.DUMMYFUNCTION("GOOGLEFINANCE(A1254,""Name"")"),"Hasbro Inc Bdr")</f>
        <v>Hasbro Inc Bdr</v>
      </c>
      <c r="C1254" s="167" t="s">
        <v>54</v>
      </c>
      <c r="D1254" s="167" t="s">
        <v>2506</v>
      </c>
      <c r="E1254" s="167" t="s">
        <v>54</v>
      </c>
      <c r="F1254" s="167" t="s">
        <v>240</v>
      </c>
      <c r="G1254" s="167" t="s">
        <v>2134</v>
      </c>
    </row>
    <row r="1255">
      <c r="A1255" s="167" t="s">
        <v>2507</v>
      </c>
      <c r="B1255" s="167" t="str">
        <f>IFERROR(__xludf.DUMMYFUNCTION("GOOGLEFINANCE(A1255,""Name"")"),"Hca Healthcare Inc Brazilian Depositary Receipt")</f>
        <v>Hca Healthcare Inc Brazilian Depositary Receipt</v>
      </c>
      <c r="C1255" s="167" t="s">
        <v>54</v>
      </c>
      <c r="D1255" s="167" t="s">
        <v>675</v>
      </c>
      <c r="E1255" s="167" t="s">
        <v>54</v>
      </c>
      <c r="F1255" s="167" t="s">
        <v>240</v>
      </c>
      <c r="G1255" s="167" t="s">
        <v>2134</v>
      </c>
    </row>
    <row r="1256">
      <c r="A1256" s="167" t="s">
        <v>2508</v>
      </c>
      <c r="B1256" s="167" t="str">
        <f>IFERROR(__xludf.DUMMYFUNCTION("GOOGLEFINANCE(A1256,""Name"")"),"Hdfc Bank Ltd Bdr")</f>
        <v>Hdfc Bank Ltd Bdr</v>
      </c>
      <c r="C1256" s="167" t="s">
        <v>54</v>
      </c>
      <c r="D1256" s="167" t="s">
        <v>875</v>
      </c>
      <c r="E1256" s="167" t="s">
        <v>54</v>
      </c>
      <c r="F1256" s="167" t="s">
        <v>2410</v>
      </c>
      <c r="G1256" s="167" t="s">
        <v>2134</v>
      </c>
    </row>
    <row r="1257">
      <c r="A1257" s="167" t="s">
        <v>2509</v>
      </c>
      <c r="B1257" s="167" t="str">
        <f>IFERROR(__xludf.DUMMYFUNCTION("GOOGLEFINANCE(A1257,""Name"")"),"Healthpeak Properties Inc Bdr")</f>
        <v>Healthpeak Properties Inc Bdr</v>
      </c>
      <c r="C1257" s="167" t="s">
        <v>54</v>
      </c>
      <c r="D1257" s="167" t="s">
        <v>2278</v>
      </c>
      <c r="E1257" s="167" t="s">
        <v>54</v>
      </c>
      <c r="F1257" s="167" t="s">
        <v>240</v>
      </c>
      <c r="G1257" s="167" t="s">
        <v>2134</v>
      </c>
    </row>
    <row r="1258">
      <c r="A1258" s="167" t="s">
        <v>2510</v>
      </c>
      <c r="B1258" s="167" t="str">
        <f>IFERROR(__xludf.DUMMYFUNCTION("GOOGLEFINANCE(A1258,""Name"")"),"Heico Corporation Bdr")</f>
        <v>Heico Corporation Bdr</v>
      </c>
      <c r="C1258" s="167" t="s">
        <v>54</v>
      </c>
      <c r="D1258" s="167" t="s">
        <v>2511</v>
      </c>
      <c r="E1258" s="167" t="s">
        <v>54</v>
      </c>
      <c r="F1258" s="167" t="s">
        <v>240</v>
      </c>
      <c r="G1258" s="167" t="s">
        <v>2134</v>
      </c>
    </row>
    <row r="1259">
      <c r="A1259" s="167" t="s">
        <v>2512</v>
      </c>
      <c r="B1259" s="167" t="str">
        <f>IFERROR(__xludf.DUMMYFUNCTION("GOOGLEFINANCE(A1259,""Name"")"),"Henry Schein Inc Bdr")</f>
        <v>Henry Schein Inc Bdr</v>
      </c>
      <c r="C1259" s="167" t="s">
        <v>54</v>
      </c>
      <c r="D1259" s="167" t="s">
        <v>675</v>
      </c>
      <c r="E1259" s="167" t="s">
        <v>54</v>
      </c>
      <c r="F1259" s="167" t="s">
        <v>240</v>
      </c>
      <c r="G1259" s="167" t="s">
        <v>2134</v>
      </c>
    </row>
    <row r="1260">
      <c r="A1260" s="167" t="s">
        <v>2513</v>
      </c>
      <c r="B1260" s="167" t="str">
        <f>IFERROR(__xludf.DUMMYFUNCTION("GOOGLEFINANCE(A1260,""Name"")"),"The Hershey Company Bdr")</f>
        <v>The Hershey Company Bdr</v>
      </c>
      <c r="C1260" s="167" t="s">
        <v>54</v>
      </c>
      <c r="D1260" s="167" t="s">
        <v>2366</v>
      </c>
      <c r="E1260" s="167" t="s">
        <v>54</v>
      </c>
      <c r="F1260" s="167" t="s">
        <v>240</v>
      </c>
      <c r="G1260" s="167" t="s">
        <v>2134</v>
      </c>
    </row>
    <row r="1261">
      <c r="A1261" s="167" t="s">
        <v>2514</v>
      </c>
      <c r="B1261" s="167" t="str">
        <f>IFERROR(__xludf.DUMMYFUNCTION("GOOGLEFINANCE(A1261,""Name"")"),"#N/A")</f>
        <v>#N/A</v>
      </c>
      <c r="C1261" s="167" t="s">
        <v>54</v>
      </c>
      <c r="D1261" s="167" t="s">
        <v>129</v>
      </c>
      <c r="E1261" s="167" t="s">
        <v>54</v>
      </c>
      <c r="F1261" s="167" t="s">
        <v>240</v>
      </c>
      <c r="G1261" s="167" t="s">
        <v>2134</v>
      </c>
    </row>
    <row r="1262">
      <c r="A1262" s="167" t="s">
        <v>2515</v>
      </c>
      <c r="B1262" s="167" t="str">
        <f>IFERROR(__xludf.DUMMYFUNCTION("GOOGLEFINANCE(A1262,""Name"")"),"Hewlett Packard Enterprise Co Brazilian Depositary Receipt")</f>
        <v>Hewlett Packard Enterprise Co Brazilian Depositary Receipt</v>
      </c>
      <c r="C1262" s="167" t="s">
        <v>54</v>
      </c>
      <c r="D1262" s="167" t="s">
        <v>2145</v>
      </c>
      <c r="E1262" s="167" t="s">
        <v>54</v>
      </c>
      <c r="F1262" s="167" t="s">
        <v>240</v>
      </c>
      <c r="G1262" s="167" t="s">
        <v>2134</v>
      </c>
    </row>
    <row r="1263">
      <c r="A1263" s="167" t="s">
        <v>2516</v>
      </c>
      <c r="B1263" s="167" t="str">
        <f>IFERROR(__xludf.DUMMYFUNCTION("GOOGLEFINANCE(A1263,""Name"")"),"Hilton Worldwide Holdings Inc Brazilian Depositary Receipt")</f>
        <v>Hilton Worldwide Holdings Inc Brazilian Depositary Receipt</v>
      </c>
      <c r="C1263" s="167" t="s">
        <v>54</v>
      </c>
      <c r="D1263" s="167" t="s">
        <v>2517</v>
      </c>
      <c r="E1263" s="167" t="s">
        <v>54</v>
      </c>
      <c r="F1263" s="167" t="s">
        <v>240</v>
      </c>
      <c r="G1263" s="167" t="s">
        <v>2134</v>
      </c>
    </row>
    <row r="1264">
      <c r="A1264" s="167" t="s">
        <v>2518</v>
      </c>
      <c r="B1264" s="167" t="str">
        <f>IFERROR(__xludf.DUMMYFUNCTION("GOOGLEFINANCE(A1264,""Name"")"),"Hf Sinclair Corporation Bdr")</f>
        <v>Hf Sinclair Corporation Bdr</v>
      </c>
      <c r="C1264" s="167" t="s">
        <v>54</v>
      </c>
      <c r="D1264" s="167" t="s">
        <v>129</v>
      </c>
      <c r="E1264" s="167" t="s">
        <v>54</v>
      </c>
      <c r="F1264" s="167" t="s">
        <v>240</v>
      </c>
      <c r="G1264" s="167" t="s">
        <v>2134</v>
      </c>
    </row>
    <row r="1265">
      <c r="A1265" s="167" t="s">
        <v>2519</v>
      </c>
      <c r="B1265" s="167" t="str">
        <f>IFERROR(__xludf.DUMMYFUNCTION("GOOGLEFINANCE(A1265,""Name"")"),"#N/A")</f>
        <v>#N/A</v>
      </c>
      <c r="C1265" s="167" t="s">
        <v>54</v>
      </c>
      <c r="D1265" s="167" t="s">
        <v>675</v>
      </c>
      <c r="E1265" s="167" t="s">
        <v>54</v>
      </c>
      <c r="F1265" s="167" t="s">
        <v>240</v>
      </c>
      <c r="G1265" s="167" t="s">
        <v>2134</v>
      </c>
    </row>
    <row r="1266">
      <c r="A1266" s="167" t="s">
        <v>2520</v>
      </c>
      <c r="B1266" s="167" t="str">
        <f>IFERROR(__xludf.DUMMYFUNCTION("GOOGLEFINANCE(A1266,""Name"")"),"The Home Depot BDR")</f>
        <v>The Home Depot BDR</v>
      </c>
      <c r="C1266" s="167" t="s">
        <v>54</v>
      </c>
      <c r="D1266" s="167" t="s">
        <v>2521</v>
      </c>
      <c r="E1266" s="167" t="s">
        <v>54</v>
      </c>
      <c r="F1266" s="167" t="s">
        <v>240</v>
      </c>
      <c r="G1266" s="167" t="s">
        <v>2134</v>
      </c>
    </row>
    <row r="1267">
      <c r="A1267" s="167" t="s">
        <v>2522</v>
      </c>
      <c r="B1267" s="167" t="str">
        <f>IFERROR(__xludf.DUMMYFUNCTION("GOOGLEFINANCE(A1267,""Name"")"),"Honda Motor Co Ltd Bdr")</f>
        <v>Honda Motor Co Ltd Bdr</v>
      </c>
      <c r="C1267" s="167" t="s">
        <v>54</v>
      </c>
      <c r="D1267" s="167" t="s">
        <v>2276</v>
      </c>
      <c r="E1267" s="167" t="s">
        <v>54</v>
      </c>
      <c r="F1267" s="167" t="s">
        <v>2297</v>
      </c>
      <c r="G1267" s="167" t="s">
        <v>2134</v>
      </c>
    </row>
    <row r="1268">
      <c r="A1268" s="167" t="s">
        <v>2523</v>
      </c>
      <c r="B1268" s="167" t="str">
        <f>IFERROR(__xludf.DUMMYFUNCTION("GOOGLEFINANCE(A1268,""Name"")"),"#N/A")</f>
        <v>#N/A</v>
      </c>
      <c r="C1268" s="167" t="s">
        <v>54</v>
      </c>
      <c r="D1268" s="167" t="s">
        <v>2176</v>
      </c>
      <c r="E1268" s="167" t="s">
        <v>54</v>
      </c>
      <c r="F1268" s="167" t="s">
        <v>240</v>
      </c>
      <c r="G1268" s="167" t="s">
        <v>2134</v>
      </c>
    </row>
    <row r="1269">
      <c r="A1269" s="167" t="s">
        <v>2524</v>
      </c>
      <c r="B1269" s="167" t="str">
        <f>IFERROR(__xludf.DUMMYFUNCTION("GOOGLEFINANCE(A1269,""Name"")"),"Hormel Foods Corp Brazilian Depositary Receipt")</f>
        <v>Hormel Foods Corp Brazilian Depositary Receipt</v>
      </c>
      <c r="C1269" s="167" t="s">
        <v>54</v>
      </c>
      <c r="D1269" s="167" t="s">
        <v>476</v>
      </c>
      <c r="E1269" s="167" t="s">
        <v>54</v>
      </c>
      <c r="F1269" s="167" t="s">
        <v>240</v>
      </c>
      <c r="G1269" s="167" t="s">
        <v>2134</v>
      </c>
    </row>
    <row r="1270">
      <c r="A1270" s="167" t="s">
        <v>2525</v>
      </c>
      <c r="B1270" s="167" t="str">
        <f>IFERROR(__xludf.DUMMYFUNCTION("GOOGLEFINANCE(A1270,""Name"")"),"Host Hotels &amp; Resorts Inc Brazilian Depositary Receipt")</f>
        <v>Host Hotels &amp; Resorts Inc Brazilian Depositary Receipt</v>
      </c>
      <c r="C1270" s="167" t="s">
        <v>54</v>
      </c>
      <c r="D1270" s="167" t="s">
        <v>2517</v>
      </c>
      <c r="E1270" s="167" t="s">
        <v>54</v>
      </c>
      <c r="F1270" s="167" t="s">
        <v>240</v>
      </c>
      <c r="G1270" s="167" t="s">
        <v>2134</v>
      </c>
    </row>
    <row r="1271">
      <c r="A1271" s="167" t="s">
        <v>2526</v>
      </c>
      <c r="B1271" s="167" t="str">
        <f>IFERROR(__xludf.DUMMYFUNCTION("GOOGLEFINANCE(A1271,""Name"")"),"Howmet Aerospace Bdr")</f>
        <v>Howmet Aerospace Bdr</v>
      </c>
      <c r="C1271" s="167" t="s">
        <v>54</v>
      </c>
      <c r="D1271" s="167" t="s">
        <v>158</v>
      </c>
      <c r="E1271" s="167" t="s">
        <v>54</v>
      </c>
      <c r="F1271" s="167" t="s">
        <v>240</v>
      </c>
      <c r="G1271" s="167" t="s">
        <v>2134</v>
      </c>
    </row>
    <row r="1272">
      <c r="A1272" s="167" t="s">
        <v>2527</v>
      </c>
      <c r="B1272" s="167" t="str">
        <f>IFERROR(__xludf.DUMMYFUNCTION("GOOGLEFINANCE(A1272,""Name"")"),"Hsbc Holdings Plc Bdr")</f>
        <v>Hsbc Holdings Plc Bdr</v>
      </c>
      <c r="C1272" s="167" t="s">
        <v>54</v>
      </c>
      <c r="D1272" s="167" t="s">
        <v>875</v>
      </c>
      <c r="E1272" s="167" t="s">
        <v>54</v>
      </c>
      <c r="F1272" s="167" t="s">
        <v>2236</v>
      </c>
      <c r="G1272" s="167" t="s">
        <v>2134</v>
      </c>
    </row>
    <row r="1273">
      <c r="A1273" s="167" t="s">
        <v>2528</v>
      </c>
      <c r="B1273" s="167" t="str">
        <f>IFERROR(__xludf.DUMMYFUNCTION("GOOGLEFINANCE(A1273,""Name"")"),"Huazhu Group Ltd Bdr")</f>
        <v>Huazhu Group Ltd Bdr</v>
      </c>
      <c r="C1273" s="167" t="s">
        <v>54</v>
      </c>
      <c r="D1273" s="167" t="s">
        <v>593</v>
      </c>
      <c r="E1273" s="167" t="s">
        <v>54</v>
      </c>
      <c r="F1273" s="167" t="s">
        <v>2167</v>
      </c>
      <c r="G1273" s="167" t="s">
        <v>2134</v>
      </c>
    </row>
    <row r="1274">
      <c r="A1274" s="167" t="s">
        <v>2529</v>
      </c>
      <c r="B1274" s="167" t="str">
        <f>IFERROR(__xludf.DUMMYFUNCTION("GOOGLEFINANCE(A1274,""Name"")"),"Humana Inc Bdr")</f>
        <v>Humana Inc Bdr</v>
      </c>
      <c r="C1274" s="167" t="s">
        <v>54</v>
      </c>
      <c r="D1274" s="167" t="s">
        <v>2155</v>
      </c>
      <c r="E1274" s="167" t="s">
        <v>54</v>
      </c>
      <c r="F1274" s="167" t="s">
        <v>240</v>
      </c>
      <c r="G1274" s="167" t="s">
        <v>2134</v>
      </c>
    </row>
    <row r="1275">
      <c r="A1275" s="167" t="s">
        <v>2530</v>
      </c>
      <c r="B1275" s="167" t="str">
        <f>IFERROR(__xludf.DUMMYFUNCTION("GOOGLEFINANCE(A1275,""Name"")"),"Huntington Bancshares Inc Brazilian Depositary Receipt")</f>
        <v>Huntington Bancshares Inc Brazilian Depositary Receipt</v>
      </c>
      <c r="C1275" s="167" t="s">
        <v>54</v>
      </c>
      <c r="D1275" s="167" t="s">
        <v>2257</v>
      </c>
      <c r="E1275" s="167" t="s">
        <v>54</v>
      </c>
      <c r="F1275" s="167" t="s">
        <v>240</v>
      </c>
      <c r="G1275" s="167" t="s">
        <v>2134</v>
      </c>
    </row>
    <row r="1276">
      <c r="A1276" s="167" t="s">
        <v>2531</v>
      </c>
      <c r="B1276" s="167" t="str">
        <f>IFERROR(__xludf.DUMMYFUNCTION("GOOGLEFINANCE(A1276,""Name"")"),"Huntington Ingalls Industries Inc Bdr")</f>
        <v>Huntington Ingalls Industries Inc Bdr</v>
      </c>
      <c r="C1276" s="167" t="s">
        <v>54</v>
      </c>
      <c r="D1276" s="167" t="s">
        <v>2371</v>
      </c>
      <c r="E1276" s="167" t="s">
        <v>54</v>
      </c>
      <c r="F1276" s="167" t="s">
        <v>240</v>
      </c>
      <c r="G1276" s="167" t="s">
        <v>2134</v>
      </c>
    </row>
    <row r="1277">
      <c r="A1277" s="167" t="s">
        <v>2532</v>
      </c>
      <c r="B1277" s="167" t="str">
        <f>IFERROR(__xludf.DUMMYFUNCTION("GOOGLEFINANCE(A1277,""Name"")"),"#N/A")</f>
        <v>#N/A</v>
      </c>
      <c r="C1277" s="167" t="s">
        <v>54</v>
      </c>
      <c r="D1277" s="167" t="s">
        <v>2186</v>
      </c>
      <c r="E1277" s="167" t="s">
        <v>54</v>
      </c>
      <c r="F1277" s="167" t="s">
        <v>240</v>
      </c>
      <c r="G1277" s="167" t="s">
        <v>2134</v>
      </c>
    </row>
    <row r="1278">
      <c r="A1278" s="167" t="s">
        <v>2533</v>
      </c>
      <c r="B1278" s="167" t="str">
        <f>IFERROR(__xludf.DUMMYFUNCTION("GOOGLEFINANCE(A1278,""Name"")"),"Icici Bank Ltd Bdr")</f>
        <v>Icici Bank Ltd Bdr</v>
      </c>
      <c r="C1278" s="167" t="s">
        <v>54</v>
      </c>
      <c r="D1278" s="167" t="s">
        <v>875</v>
      </c>
      <c r="E1278" s="167" t="s">
        <v>54</v>
      </c>
      <c r="F1278" s="167" t="s">
        <v>2410</v>
      </c>
      <c r="G1278" s="167" t="s">
        <v>2134</v>
      </c>
    </row>
    <row r="1279">
      <c r="A1279" s="167" t="s">
        <v>2534</v>
      </c>
      <c r="B1279" s="167" t="str">
        <f>IFERROR(__xludf.DUMMYFUNCTION("GOOGLEFINANCE(A1279,""Name"")"),"Idex Corporation Bdr")</f>
        <v>Idex Corporation Bdr</v>
      </c>
      <c r="C1279" s="167" t="s">
        <v>54</v>
      </c>
      <c r="D1279" s="167" t="s">
        <v>2535</v>
      </c>
      <c r="E1279" s="167" t="s">
        <v>54</v>
      </c>
      <c r="F1279" s="167" t="s">
        <v>240</v>
      </c>
      <c r="G1279" s="167" t="s">
        <v>2134</v>
      </c>
    </row>
    <row r="1280">
      <c r="A1280" s="167" t="s">
        <v>2536</v>
      </c>
      <c r="B1280" s="167" t="str">
        <f>IFERROR(__xludf.DUMMYFUNCTION("GOOGLEFINANCE(A1280,""Name"")"),"Idexx Laboratories Inc Bdr")</f>
        <v>Idexx Laboratories Inc Bdr</v>
      </c>
      <c r="C1280" s="167" t="s">
        <v>54</v>
      </c>
      <c r="D1280" s="167" t="s">
        <v>2537</v>
      </c>
      <c r="E1280" s="167" t="s">
        <v>54</v>
      </c>
      <c r="F1280" s="167" t="s">
        <v>240</v>
      </c>
      <c r="G1280" s="167" t="s">
        <v>2134</v>
      </c>
    </row>
    <row r="1281">
      <c r="A1281" s="167" t="s">
        <v>2538</v>
      </c>
      <c r="B1281" s="167" t="str">
        <f>IFERROR(__xludf.DUMMYFUNCTION("GOOGLEFINANCE(A1281,""Name"")"),"#N/A")</f>
        <v>#N/A</v>
      </c>
      <c r="C1281" s="167" t="s">
        <v>54</v>
      </c>
      <c r="D1281" s="167" t="s">
        <v>1051</v>
      </c>
      <c r="E1281" s="167" t="s">
        <v>54</v>
      </c>
      <c r="F1281" s="167" t="s">
        <v>240</v>
      </c>
      <c r="G1281" s="167" t="s">
        <v>2134</v>
      </c>
    </row>
    <row r="1282">
      <c r="A1282" s="167" t="s">
        <v>2539</v>
      </c>
      <c r="B1282" s="167" t="str">
        <f>IFERROR(__xludf.DUMMYFUNCTION("GOOGLEFINANCE(A1282,""Name"")"),"Illinois Tool Works Inc Bdr")</f>
        <v>Illinois Tool Works Inc Bdr</v>
      </c>
      <c r="C1282" s="167" t="s">
        <v>54</v>
      </c>
      <c r="D1282" s="167" t="s">
        <v>2405</v>
      </c>
      <c r="E1282" s="167" t="s">
        <v>54</v>
      </c>
      <c r="F1282" s="167" t="s">
        <v>240</v>
      </c>
      <c r="G1282" s="167" t="s">
        <v>2134</v>
      </c>
    </row>
    <row r="1283">
      <c r="A1283" s="167" t="s">
        <v>2540</v>
      </c>
      <c r="B1283" s="167" t="str">
        <f>IFERROR(__xludf.DUMMYFUNCTION("GOOGLEFINANCE(A1283,""Name"")"),"Illumina Inc Bdr")</f>
        <v>Illumina Inc Bdr</v>
      </c>
      <c r="C1283" s="167" t="s">
        <v>54</v>
      </c>
      <c r="D1283" s="167" t="s">
        <v>2200</v>
      </c>
      <c r="E1283" s="167" t="s">
        <v>54</v>
      </c>
      <c r="F1283" s="167" t="s">
        <v>240</v>
      </c>
      <c r="G1283" s="167" t="s">
        <v>2134</v>
      </c>
    </row>
    <row r="1284">
      <c r="A1284" s="167" t="s">
        <v>2541</v>
      </c>
      <c r="B1284" s="167" t="str">
        <f>IFERROR(__xludf.DUMMYFUNCTION("GOOGLEFINANCE(A1284,""Name"")"),"Incyte Corp Bdr")</f>
        <v>Incyte Corp Bdr</v>
      </c>
      <c r="C1284" s="167" t="s">
        <v>54</v>
      </c>
      <c r="D1284" s="167" t="s">
        <v>2141</v>
      </c>
      <c r="E1284" s="167" t="s">
        <v>54</v>
      </c>
      <c r="F1284" s="167" t="s">
        <v>240</v>
      </c>
      <c r="G1284" s="167" t="s">
        <v>2134</v>
      </c>
    </row>
    <row r="1285">
      <c r="A1285" s="167" t="s">
        <v>2542</v>
      </c>
      <c r="B1285" s="167" t="str">
        <f>IFERROR(__xludf.DUMMYFUNCTION("GOOGLEFINANCE(A1285,""Name"")"),"Infosys Ltd Bdr")</f>
        <v>Infosys Ltd Bdr</v>
      </c>
      <c r="C1285" s="167" t="s">
        <v>54</v>
      </c>
      <c r="D1285" s="167" t="s">
        <v>2145</v>
      </c>
      <c r="E1285" s="167" t="s">
        <v>54</v>
      </c>
      <c r="F1285" s="167" t="s">
        <v>2410</v>
      </c>
      <c r="G1285" s="167" t="s">
        <v>2134</v>
      </c>
    </row>
    <row r="1286">
      <c r="A1286" s="167" t="s">
        <v>2543</v>
      </c>
      <c r="B1286" s="167" t="str">
        <f>IFERROR(__xludf.DUMMYFUNCTION("GOOGLEFINANCE(A1286,""Name"")"),"#N/A")</f>
        <v>#N/A</v>
      </c>
      <c r="C1286" s="167" t="s">
        <v>54</v>
      </c>
      <c r="D1286" s="167" t="s">
        <v>2257</v>
      </c>
      <c r="E1286" s="167" t="s">
        <v>54</v>
      </c>
      <c r="F1286" s="167" t="s">
        <v>2232</v>
      </c>
      <c r="G1286" s="167" t="s">
        <v>2134</v>
      </c>
    </row>
    <row r="1287">
      <c r="A1287" s="167" t="s">
        <v>2544</v>
      </c>
      <c r="B1287" s="167" t="str">
        <f>IFERROR(__xludf.DUMMYFUNCTION("GOOGLEFINANCE(A1287,""Name"")"),"Trane Technologies Bdr")</f>
        <v>Trane Technologies Bdr</v>
      </c>
      <c r="C1287" s="167" t="s">
        <v>54</v>
      </c>
      <c r="D1287" s="167" t="s">
        <v>2545</v>
      </c>
      <c r="E1287" s="167" t="s">
        <v>54</v>
      </c>
      <c r="F1287" s="167" t="s">
        <v>240</v>
      </c>
      <c r="G1287" s="167" t="s">
        <v>2134</v>
      </c>
    </row>
    <row r="1288">
      <c r="A1288" s="167" t="s">
        <v>2546</v>
      </c>
      <c r="B1288" s="167" t="str">
        <f>IFERROR(__xludf.DUMMYFUNCTION("GOOGLEFINANCE(A1288,""Name"")"),"Intel BDR")</f>
        <v>Intel BDR</v>
      </c>
      <c r="C1288" s="167" t="s">
        <v>54</v>
      </c>
      <c r="D1288" s="167" t="s">
        <v>2547</v>
      </c>
      <c r="E1288" s="167" t="s">
        <v>54</v>
      </c>
      <c r="F1288" s="167" t="s">
        <v>240</v>
      </c>
      <c r="G1288" s="167" t="s">
        <v>2134</v>
      </c>
    </row>
    <row r="1289">
      <c r="A1289" s="167" t="s">
        <v>2548</v>
      </c>
      <c r="B1289" s="167" t="str">
        <f>IFERROR(__xludf.DUMMYFUNCTION("GOOGLEFINANCE(A1289,""Name"")"),"Intercontinental Exchange Inc Bdr")</f>
        <v>Intercontinental Exchange Inc Bdr</v>
      </c>
      <c r="C1289" s="167" t="s">
        <v>54</v>
      </c>
      <c r="D1289" s="167" t="s">
        <v>2194</v>
      </c>
      <c r="E1289" s="167" t="s">
        <v>54</v>
      </c>
      <c r="F1289" s="167" t="s">
        <v>240</v>
      </c>
      <c r="G1289" s="167" t="s">
        <v>2134</v>
      </c>
    </row>
    <row r="1290">
      <c r="A1290" s="167" t="s">
        <v>2549</v>
      </c>
      <c r="B1290" s="167" t="str">
        <f>IFERROR(__xludf.DUMMYFUNCTION("GOOGLEFINANCE(A1290,""Name"")"),"Intercontinental Hotels Group Plc")</f>
        <v>Intercontinental Hotels Group Plc</v>
      </c>
      <c r="C1290" s="167" t="s">
        <v>54</v>
      </c>
      <c r="D1290" s="167" t="s">
        <v>593</v>
      </c>
      <c r="E1290" s="167" t="s">
        <v>54</v>
      </c>
      <c r="F1290" s="167" t="s">
        <v>2183</v>
      </c>
      <c r="G1290" s="167" t="s">
        <v>2134</v>
      </c>
    </row>
    <row r="1291">
      <c r="A1291" s="167" t="s">
        <v>2550</v>
      </c>
      <c r="B1291" s="167" t="str">
        <f>IFERROR(__xludf.DUMMYFUNCTION("GOOGLEFINANCE(A1291,""Name"")"),"International Paper Co Brazilian Depositary Receipt")</f>
        <v>International Paper Co Brazilian Depositary Receipt</v>
      </c>
      <c r="C1291" s="167" t="s">
        <v>54</v>
      </c>
      <c r="D1291" s="167" t="s">
        <v>248</v>
      </c>
      <c r="E1291" s="167" t="s">
        <v>54</v>
      </c>
      <c r="F1291" s="167" t="s">
        <v>240</v>
      </c>
      <c r="G1291" s="167" t="s">
        <v>2134</v>
      </c>
    </row>
    <row r="1292">
      <c r="A1292" s="167" t="s">
        <v>2551</v>
      </c>
      <c r="B1292" s="167" t="str">
        <f>IFERROR(__xludf.DUMMYFUNCTION("GOOGLEFINANCE(A1292,""Name"")"),"International Flavors &amp; Fragrances Inc Bdr")</f>
        <v>International Flavors &amp; Fragrances Inc Bdr</v>
      </c>
      <c r="C1292" s="167" t="s">
        <v>54</v>
      </c>
      <c r="D1292" s="167" t="s">
        <v>2552</v>
      </c>
      <c r="E1292" s="167" t="s">
        <v>54</v>
      </c>
      <c r="F1292" s="167" t="s">
        <v>240</v>
      </c>
      <c r="G1292" s="167" t="s">
        <v>2134</v>
      </c>
    </row>
    <row r="1293">
      <c r="A1293" s="167" t="s">
        <v>2553</v>
      </c>
      <c r="B1293" s="167" t="str">
        <f>IFERROR(__xludf.DUMMYFUNCTION("GOOGLEFINANCE(A1293,""Name"")"),"#N/A")</f>
        <v>#N/A</v>
      </c>
      <c r="C1293" s="167" t="s">
        <v>54</v>
      </c>
      <c r="D1293" s="167" t="s">
        <v>2554</v>
      </c>
      <c r="E1293" s="167" t="s">
        <v>54</v>
      </c>
      <c r="F1293" s="167" t="s">
        <v>240</v>
      </c>
      <c r="G1293" s="167" t="s">
        <v>2134</v>
      </c>
    </row>
    <row r="1294">
      <c r="A1294" s="167" t="s">
        <v>2555</v>
      </c>
      <c r="B1294" s="167" t="str">
        <f>IFERROR(__xludf.DUMMYFUNCTION("GOOGLEFINANCE(A1294,""Name"")"),"Intuit Inc BDR")</f>
        <v>Intuit Inc BDR</v>
      </c>
      <c r="C1294" s="167" t="s">
        <v>54</v>
      </c>
      <c r="D1294" s="167" t="s">
        <v>2145</v>
      </c>
      <c r="E1294" s="167" t="s">
        <v>54</v>
      </c>
      <c r="F1294" s="167" t="s">
        <v>240</v>
      </c>
      <c r="G1294" s="167" t="s">
        <v>2134</v>
      </c>
    </row>
    <row r="1295">
      <c r="A1295" s="167" t="s">
        <v>2556</v>
      </c>
      <c r="B1295" s="167" t="str">
        <f>IFERROR(__xludf.DUMMYFUNCTION("GOOGLEFINANCE(A1295,""Name"")"),"Intuitive Surgical Inc Bdr")</f>
        <v>Intuitive Surgical Inc Bdr</v>
      </c>
      <c r="C1295" s="167" t="s">
        <v>54</v>
      </c>
      <c r="D1295" s="167" t="s">
        <v>675</v>
      </c>
      <c r="E1295" s="167" t="s">
        <v>54</v>
      </c>
      <c r="F1295" s="167" t="s">
        <v>240</v>
      </c>
      <c r="G1295" s="167" t="s">
        <v>2134</v>
      </c>
    </row>
    <row r="1296">
      <c r="A1296" s="167" t="s">
        <v>2557</v>
      </c>
      <c r="B1296" s="167" t="str">
        <f>IFERROR(__xludf.DUMMYFUNCTION("GOOGLEFINANCE(A1296,""Name"")"),"Invesco Ltd Brazilian Depositary Receipt")</f>
        <v>Invesco Ltd Brazilian Depositary Receipt</v>
      </c>
      <c r="C1296" s="167" t="s">
        <v>54</v>
      </c>
      <c r="D1296" s="167" t="s">
        <v>2257</v>
      </c>
      <c r="E1296" s="167" t="s">
        <v>54</v>
      </c>
      <c r="F1296" s="167" t="s">
        <v>240</v>
      </c>
      <c r="G1296" s="167" t="s">
        <v>2134</v>
      </c>
    </row>
    <row r="1297">
      <c r="A1297" s="167" t="s">
        <v>2558</v>
      </c>
      <c r="B1297" s="167" t="str">
        <f>IFERROR(__xludf.DUMMYFUNCTION("GOOGLEFINANCE(A1297,""Name"")"),"#N/A")</f>
        <v>#N/A</v>
      </c>
      <c r="C1297" s="167" t="s">
        <v>54</v>
      </c>
      <c r="D1297" s="167" t="s">
        <v>2194</v>
      </c>
      <c r="E1297" s="167" t="s">
        <v>54</v>
      </c>
      <c r="F1297" s="167" t="s">
        <v>240</v>
      </c>
      <c r="G1297" s="167" t="s">
        <v>2134</v>
      </c>
    </row>
    <row r="1298">
      <c r="A1298" s="167" t="s">
        <v>2559</v>
      </c>
      <c r="B1298" s="167" t="str">
        <f>IFERROR(__xludf.DUMMYFUNCTION("GOOGLEFINANCE(A1298,""Name"")"),"Ipg Photonics Corp Bdr")</f>
        <v>Ipg Photonics Corp Bdr</v>
      </c>
      <c r="C1298" s="167" t="s">
        <v>54</v>
      </c>
      <c r="D1298" s="167" t="s">
        <v>2560</v>
      </c>
      <c r="E1298" s="167" t="s">
        <v>54</v>
      </c>
      <c r="F1298" s="167" t="s">
        <v>240</v>
      </c>
      <c r="G1298" s="167" t="s">
        <v>2134</v>
      </c>
    </row>
    <row r="1299">
      <c r="A1299" s="167" t="s">
        <v>2561</v>
      </c>
      <c r="B1299" s="167" t="str">
        <f>IFERROR(__xludf.DUMMYFUNCTION("GOOGLEFINANCE(A1299,""Name"")"),"Iqiyi Inc Bdr")</f>
        <v>Iqiyi Inc Bdr</v>
      </c>
      <c r="C1299" s="167" t="s">
        <v>54</v>
      </c>
      <c r="D1299" s="167" t="s">
        <v>2186</v>
      </c>
      <c r="E1299" s="167" t="s">
        <v>54</v>
      </c>
      <c r="F1299" s="167" t="s">
        <v>2167</v>
      </c>
      <c r="G1299" s="167" t="s">
        <v>2134</v>
      </c>
    </row>
    <row r="1300">
      <c r="A1300" s="167" t="s">
        <v>2562</v>
      </c>
      <c r="B1300" s="167" t="str">
        <f>IFERROR(__xludf.DUMMYFUNCTION("GOOGLEFINANCE(A1300,""Name"")"),"Iqvia Holdings Inc Bdr")</f>
        <v>Iqvia Holdings Inc Bdr</v>
      </c>
      <c r="C1300" s="167" t="s">
        <v>54</v>
      </c>
      <c r="D1300" s="167" t="s">
        <v>2480</v>
      </c>
      <c r="E1300" s="167" t="s">
        <v>54</v>
      </c>
      <c r="F1300" s="167" t="s">
        <v>240</v>
      </c>
      <c r="G1300" s="167" t="s">
        <v>2134</v>
      </c>
    </row>
    <row r="1301">
      <c r="A1301" s="167" t="s">
        <v>2563</v>
      </c>
      <c r="B1301" s="167" t="str">
        <f>IFERROR(__xludf.DUMMYFUNCTION("GOOGLEFINANCE(A1301,""Name"")"),"Iron Mountain Inc Bdr")</f>
        <v>Iron Mountain Inc Bdr</v>
      </c>
      <c r="C1301" s="167" t="s">
        <v>54</v>
      </c>
      <c r="D1301" s="167" t="s">
        <v>2564</v>
      </c>
      <c r="E1301" s="167" t="s">
        <v>54</v>
      </c>
      <c r="F1301" s="167" t="s">
        <v>240</v>
      </c>
      <c r="G1301" s="167" t="s">
        <v>2134</v>
      </c>
    </row>
    <row r="1302">
      <c r="A1302" s="167" t="s">
        <v>2565</v>
      </c>
      <c r="B1302" s="167" t="str">
        <f>IFERROR(__xludf.DUMMYFUNCTION("GOOGLEFINANCE(A1302,""Name"")"),"Jack Henry &amp; Associates Inc Bdr")</f>
        <v>Jack Henry &amp; Associates Inc Bdr</v>
      </c>
      <c r="C1302" s="167" t="s">
        <v>54</v>
      </c>
      <c r="D1302" s="167" t="s">
        <v>2145</v>
      </c>
      <c r="E1302" s="167" t="s">
        <v>54</v>
      </c>
      <c r="F1302" s="167" t="s">
        <v>240</v>
      </c>
      <c r="G1302" s="167" t="s">
        <v>2134</v>
      </c>
    </row>
    <row r="1303">
      <c r="A1303" s="167" t="s">
        <v>2566</v>
      </c>
      <c r="B1303" s="167" t="str">
        <f>IFERROR(__xludf.DUMMYFUNCTION("GOOGLEFINANCE(A1303,""Name"")"),"Jacobs Solution Inc Bdr")</f>
        <v>Jacobs Solution Inc Bdr</v>
      </c>
      <c r="C1303" s="167" t="s">
        <v>54</v>
      </c>
      <c r="D1303" s="167" t="s">
        <v>1051</v>
      </c>
      <c r="E1303" s="167" t="s">
        <v>54</v>
      </c>
      <c r="F1303" s="167" t="s">
        <v>240</v>
      </c>
      <c r="G1303" s="167" t="s">
        <v>2134</v>
      </c>
    </row>
    <row r="1304">
      <c r="A1304" s="167" t="s">
        <v>2567</v>
      </c>
      <c r="B1304" s="167" t="str">
        <f>IFERROR(__xludf.DUMMYFUNCTION("GOOGLEFINANCE(A1304,""Name"")"),"Jb Hunt Transport Services Inc Bdr")</f>
        <v>Jb Hunt Transport Services Inc Bdr</v>
      </c>
      <c r="C1304" s="167" t="s">
        <v>54</v>
      </c>
      <c r="D1304" s="167" t="s">
        <v>2568</v>
      </c>
      <c r="E1304" s="167" t="s">
        <v>54</v>
      </c>
      <c r="F1304" s="167" t="s">
        <v>240</v>
      </c>
      <c r="G1304" s="167" t="s">
        <v>2134</v>
      </c>
    </row>
    <row r="1305">
      <c r="A1305" s="167" t="s">
        <v>2569</v>
      </c>
      <c r="B1305" s="167" t="str">
        <f>IFERROR(__xludf.DUMMYFUNCTION("GOOGLEFINANCE(A1305,""Name"")"),"Jd.Com Inc Bdr")</f>
        <v>Jd.Com Inc Bdr</v>
      </c>
      <c r="C1305" s="167" t="s">
        <v>54</v>
      </c>
      <c r="D1305" s="167" t="s">
        <v>2166</v>
      </c>
      <c r="E1305" s="167" t="s">
        <v>54</v>
      </c>
      <c r="F1305" s="167" t="s">
        <v>2167</v>
      </c>
      <c r="G1305" s="167" t="s">
        <v>2134</v>
      </c>
    </row>
    <row r="1306">
      <c r="A1306" s="167" t="s">
        <v>2570</v>
      </c>
      <c r="B1306" s="167" t="str">
        <f>IFERROR(__xludf.DUMMYFUNCTION("GOOGLEFINANCE(A1306,""Name"")"),"Jefferies Financial Group Inc Bdr")</f>
        <v>Jefferies Financial Group Inc Bdr</v>
      </c>
      <c r="C1306" s="167" t="s">
        <v>54</v>
      </c>
      <c r="D1306" s="167" t="s">
        <v>2194</v>
      </c>
      <c r="E1306" s="167" t="s">
        <v>54</v>
      </c>
      <c r="F1306" s="167" t="s">
        <v>240</v>
      </c>
      <c r="G1306" s="167" t="s">
        <v>2134</v>
      </c>
    </row>
    <row r="1307">
      <c r="A1307" s="167" t="s">
        <v>2571</v>
      </c>
      <c r="B1307" s="167" t="str">
        <f>IFERROR(__xludf.DUMMYFUNCTION("GOOGLEFINANCE(A1307,""Name"")"),"Johnson Controls International Plc Brazilian Depositary Receipt")</f>
        <v>Johnson Controls International Plc Brazilian Depositary Receipt</v>
      </c>
      <c r="C1307" s="167" t="s">
        <v>54</v>
      </c>
      <c r="D1307" s="167" t="s">
        <v>2153</v>
      </c>
      <c r="E1307" s="167" t="s">
        <v>54</v>
      </c>
      <c r="F1307" s="167" t="s">
        <v>240</v>
      </c>
      <c r="G1307" s="167" t="s">
        <v>2134</v>
      </c>
    </row>
    <row r="1308">
      <c r="A1308" s="167" t="s">
        <v>2572</v>
      </c>
      <c r="B1308" s="167" t="str">
        <f>IFERROR(__xludf.DUMMYFUNCTION("GOOGLEFINANCE(A1308,""Name"")"),"JPMorgan Chase &amp; CO. BDR")</f>
        <v>JPMorgan Chase &amp; CO. BDR</v>
      </c>
      <c r="C1308" s="167" t="s">
        <v>54</v>
      </c>
      <c r="D1308" s="167" t="s">
        <v>214</v>
      </c>
      <c r="E1308" s="167" t="s">
        <v>54</v>
      </c>
      <c r="F1308" s="167" t="s">
        <v>240</v>
      </c>
      <c r="G1308" s="167" t="s">
        <v>2134</v>
      </c>
    </row>
    <row r="1309">
      <c r="A1309" s="167" t="s">
        <v>2573</v>
      </c>
      <c r="B1309" s="167" t="str">
        <f>IFERROR(__xludf.DUMMYFUNCTION("GOOGLEFINANCE(A1309,""Name"")"),"#N/A")</f>
        <v>#N/A</v>
      </c>
      <c r="C1309" s="167" t="s">
        <v>54</v>
      </c>
      <c r="D1309" s="167" t="s">
        <v>2145</v>
      </c>
      <c r="E1309" s="167" t="s">
        <v>54</v>
      </c>
      <c r="F1309" s="167" t="s">
        <v>240</v>
      </c>
      <c r="G1309" s="167" t="s">
        <v>2134</v>
      </c>
    </row>
    <row r="1310">
      <c r="A1310" s="167" t="s">
        <v>2574</v>
      </c>
      <c r="B1310" s="167" t="str">
        <f>IFERROR(__xludf.DUMMYFUNCTION("GOOGLEFINANCE(A1310,""Name"")"),"#N/A")</f>
        <v>#N/A</v>
      </c>
      <c r="C1310" s="167" t="s">
        <v>54</v>
      </c>
      <c r="D1310" s="167" t="s">
        <v>2575</v>
      </c>
      <c r="E1310" s="167" t="s">
        <v>54</v>
      </c>
      <c r="F1310" s="167" t="s">
        <v>240</v>
      </c>
      <c r="G1310" s="167" t="s">
        <v>2134</v>
      </c>
    </row>
    <row r="1311">
      <c r="A1311" s="167" t="s">
        <v>2576</v>
      </c>
      <c r="B1311" s="167" t="str">
        <f>IFERROR(__xludf.DUMMYFUNCTION("GOOGLEFINANCE(A1311,""Name"")"),"KB Financial Bdr")</f>
        <v>KB Financial Bdr</v>
      </c>
      <c r="C1311" s="167" t="s">
        <v>54</v>
      </c>
      <c r="D1311" s="167" t="s">
        <v>875</v>
      </c>
      <c r="E1311" s="167" t="s">
        <v>54</v>
      </c>
      <c r="F1311" s="167" t="s">
        <v>2577</v>
      </c>
      <c r="G1311" s="167" t="s">
        <v>2134</v>
      </c>
    </row>
    <row r="1312">
      <c r="A1312" s="167" t="s">
        <v>2578</v>
      </c>
      <c r="B1312" s="167" t="str">
        <f>IFERROR(__xludf.DUMMYFUNCTION("GOOGLEFINANCE(A1312,""Name"")"),"#N/A")</f>
        <v>#N/A</v>
      </c>
      <c r="C1312" s="167" t="s">
        <v>54</v>
      </c>
      <c r="D1312" s="167" t="s">
        <v>476</v>
      </c>
      <c r="E1312" s="167" t="s">
        <v>54</v>
      </c>
      <c r="F1312" s="167" t="s">
        <v>240</v>
      </c>
      <c r="G1312" s="167" t="s">
        <v>2134</v>
      </c>
    </row>
    <row r="1313">
      <c r="A1313" s="167" t="s">
        <v>2579</v>
      </c>
      <c r="B1313" s="167" t="str">
        <f>IFERROR(__xludf.DUMMYFUNCTION("GOOGLEFINANCE(A1313,""Name"")"),"Kemper Corp BDR")</f>
        <v>Kemper Corp BDR</v>
      </c>
      <c r="C1313" s="167" t="s">
        <v>54</v>
      </c>
      <c r="D1313" s="167" t="s">
        <v>2194</v>
      </c>
      <c r="E1313" s="167" t="s">
        <v>54</v>
      </c>
      <c r="F1313" s="167" t="s">
        <v>240</v>
      </c>
      <c r="G1313" s="167" t="s">
        <v>2134</v>
      </c>
    </row>
    <row r="1314">
      <c r="A1314" s="167" t="s">
        <v>2580</v>
      </c>
      <c r="B1314" s="167" t="str">
        <f>IFERROR(__xludf.DUMMYFUNCTION("GOOGLEFINANCE(A1314,""Name"")"),"Keycorp Brazilian Depositary Receipt")</f>
        <v>Keycorp Brazilian Depositary Receipt</v>
      </c>
      <c r="C1314" s="167" t="s">
        <v>54</v>
      </c>
      <c r="D1314" s="167" t="s">
        <v>2257</v>
      </c>
      <c r="E1314" s="167" t="s">
        <v>54</v>
      </c>
      <c r="F1314" s="167" t="s">
        <v>240</v>
      </c>
      <c r="G1314" s="167" t="s">
        <v>2134</v>
      </c>
    </row>
    <row r="1315">
      <c r="A1315" s="167" t="s">
        <v>2581</v>
      </c>
      <c r="B1315" s="167" t="str">
        <f>IFERROR(__xludf.DUMMYFUNCTION("GOOGLEFINANCE(A1315,""Name"")"),"Keysight Technologies Inc Bdr")</f>
        <v>Keysight Technologies Inc Bdr</v>
      </c>
      <c r="C1315" s="167" t="s">
        <v>54</v>
      </c>
      <c r="D1315" s="167" t="s">
        <v>2582</v>
      </c>
      <c r="E1315" s="167" t="s">
        <v>54</v>
      </c>
      <c r="F1315" s="167" t="s">
        <v>240</v>
      </c>
      <c r="G1315" s="167" t="s">
        <v>2134</v>
      </c>
    </row>
    <row r="1316">
      <c r="A1316" s="167" t="s">
        <v>2583</v>
      </c>
      <c r="B1316" s="167" t="str">
        <f>IFERROR(__xludf.DUMMYFUNCTION("GOOGLEFINANCE(A1316,""Name"")"),"Kimco Realty Corp Bdr")</f>
        <v>Kimco Realty Corp Bdr</v>
      </c>
      <c r="C1316" s="167" t="s">
        <v>54</v>
      </c>
      <c r="D1316" s="167" t="s">
        <v>2163</v>
      </c>
      <c r="E1316" s="167" t="s">
        <v>54</v>
      </c>
      <c r="F1316" s="167" t="s">
        <v>240</v>
      </c>
      <c r="G1316" s="167" t="s">
        <v>2134</v>
      </c>
    </row>
    <row r="1317">
      <c r="A1317" s="167" t="s">
        <v>2584</v>
      </c>
      <c r="B1317" s="167" t="str">
        <f>IFERROR(__xludf.DUMMYFUNCTION("GOOGLEFINANCE(A1317,""Name"")"),"Kinder Morgan Inc BDR")</f>
        <v>Kinder Morgan Inc BDR</v>
      </c>
      <c r="C1317" s="167" t="s">
        <v>54</v>
      </c>
      <c r="D1317" s="167" t="s">
        <v>2153</v>
      </c>
      <c r="E1317" s="167" t="s">
        <v>54</v>
      </c>
      <c r="F1317" s="167" t="s">
        <v>240</v>
      </c>
      <c r="G1317" s="167" t="s">
        <v>2134</v>
      </c>
    </row>
    <row r="1318">
      <c r="A1318" s="167" t="s">
        <v>2585</v>
      </c>
      <c r="B1318" s="167" t="str">
        <f>IFERROR(__xludf.DUMMYFUNCTION("GOOGLEFINANCE(A1318,""Name"")"),"Kla Corp Bdr")</f>
        <v>Kla Corp Bdr</v>
      </c>
      <c r="C1318" s="167" t="s">
        <v>54</v>
      </c>
      <c r="D1318" s="167" t="s">
        <v>2216</v>
      </c>
      <c r="E1318" s="167" t="s">
        <v>54</v>
      </c>
      <c r="F1318" s="167" t="s">
        <v>240</v>
      </c>
      <c r="G1318" s="167" t="s">
        <v>2134</v>
      </c>
    </row>
    <row r="1319">
      <c r="A1319" s="167" t="s">
        <v>2586</v>
      </c>
      <c r="B1319" s="167" t="str">
        <f>IFERROR(__xludf.DUMMYFUNCTION("GOOGLEFINANCE(A1319,""Name"")"),"Kohls Corp Brazilian Depositary Receipt")</f>
        <v>Kohls Corp Brazilian Depositary Receipt</v>
      </c>
      <c r="C1319" s="167" t="s">
        <v>54</v>
      </c>
      <c r="D1319" s="167" t="s">
        <v>2500</v>
      </c>
      <c r="E1319" s="167" t="s">
        <v>54</v>
      </c>
      <c r="F1319" s="167" t="s">
        <v>240</v>
      </c>
      <c r="G1319" s="167" t="s">
        <v>2134</v>
      </c>
    </row>
    <row r="1320">
      <c r="A1320" s="167" t="s">
        <v>2587</v>
      </c>
      <c r="B1320" s="167" t="str">
        <f>IFERROR(__xludf.DUMMYFUNCTION("GOOGLEFINANCE(A1320,""Name"")"),"Koninklijke Philips Nv Bdr")</f>
        <v>Koninklijke Philips Nv Bdr</v>
      </c>
      <c r="C1320" s="167" t="s">
        <v>54</v>
      </c>
      <c r="D1320" s="167" t="s">
        <v>2145</v>
      </c>
      <c r="E1320" s="167" t="s">
        <v>54</v>
      </c>
      <c r="F1320" s="167" t="s">
        <v>2232</v>
      </c>
      <c r="G1320" s="167" t="s">
        <v>2134</v>
      </c>
    </row>
    <row r="1321">
      <c r="A1321" s="167" t="s">
        <v>2588</v>
      </c>
      <c r="B1321" s="167" t="str">
        <f>IFERROR(__xludf.DUMMYFUNCTION("GOOGLEFINANCE(A1321,""Name"")"),"Kroger Co Brazilian Depositary Receipt")</f>
        <v>Kroger Co Brazilian Depositary Receipt</v>
      </c>
      <c r="C1321" s="167" t="s">
        <v>54</v>
      </c>
      <c r="D1321" s="167" t="s">
        <v>2589</v>
      </c>
      <c r="E1321" s="167" t="s">
        <v>54</v>
      </c>
      <c r="F1321" s="167" t="s">
        <v>240</v>
      </c>
      <c r="G1321" s="167" t="s">
        <v>2134</v>
      </c>
    </row>
    <row r="1322">
      <c r="A1322" s="167" t="s">
        <v>2590</v>
      </c>
      <c r="B1322" s="167" t="str">
        <f>IFERROR(__xludf.DUMMYFUNCTION("GOOGLEFINANCE(A1322,""Name"")"),"KT Corp Bdr")</f>
        <v>KT Corp Bdr</v>
      </c>
      <c r="C1322" s="167" t="s">
        <v>54</v>
      </c>
      <c r="D1322" s="167" t="s">
        <v>2186</v>
      </c>
      <c r="E1322" s="167" t="s">
        <v>54</v>
      </c>
      <c r="F1322" s="167" t="s">
        <v>2591</v>
      </c>
      <c r="G1322" s="167" t="s">
        <v>2134</v>
      </c>
    </row>
    <row r="1323">
      <c r="A1323" s="167" t="s">
        <v>2592</v>
      </c>
      <c r="B1323" s="167" t="str">
        <f>IFERROR(__xludf.DUMMYFUNCTION("GOOGLEFINANCE(A1323,""Name"")"),"#N/A")</f>
        <v>#N/A</v>
      </c>
      <c r="C1323" s="167" t="s">
        <v>54</v>
      </c>
      <c r="D1323" s="167" t="s">
        <v>2366</v>
      </c>
      <c r="E1323" s="167" t="s">
        <v>54</v>
      </c>
      <c r="F1323" s="167" t="s">
        <v>240</v>
      </c>
      <c r="G1323" s="167" t="s">
        <v>2134</v>
      </c>
    </row>
    <row r="1324">
      <c r="A1324" s="167" t="s">
        <v>2593</v>
      </c>
      <c r="B1324" s="167" t="str">
        <f>IFERROR(__xludf.DUMMYFUNCTION("GOOGLEFINANCE(A1324,""Name"")"),"L3harris Technologies Inc Bdr")</f>
        <v>L3harris Technologies Inc Bdr</v>
      </c>
      <c r="C1324" s="167" t="s">
        <v>54</v>
      </c>
      <c r="D1324" s="167" t="s">
        <v>2145</v>
      </c>
      <c r="E1324" s="167" t="s">
        <v>54</v>
      </c>
      <c r="F1324" s="167" t="s">
        <v>240</v>
      </c>
      <c r="G1324" s="167" t="s">
        <v>2134</v>
      </c>
    </row>
    <row r="1325">
      <c r="A1325" s="167" t="s">
        <v>2594</v>
      </c>
      <c r="B1325" s="167" t="str">
        <f>IFERROR(__xludf.DUMMYFUNCTION("GOOGLEFINANCE(A1325,""Name"")"),"Labcorp Holdings Bdr")</f>
        <v>Labcorp Holdings Bdr</v>
      </c>
      <c r="C1325" s="167" t="s">
        <v>54</v>
      </c>
      <c r="D1325" s="167" t="s">
        <v>2595</v>
      </c>
      <c r="E1325" s="167" t="s">
        <v>54</v>
      </c>
      <c r="F1325" s="167" t="s">
        <v>240</v>
      </c>
      <c r="G1325" s="167" t="s">
        <v>2134</v>
      </c>
    </row>
    <row r="1326">
      <c r="A1326" s="167" t="s">
        <v>2596</v>
      </c>
      <c r="B1326" s="167" t="str">
        <f>IFERROR(__xludf.DUMMYFUNCTION("GOOGLEFINANCE(A1326,""Name"")"),"Lam Research Corp Bdr")</f>
        <v>Lam Research Corp Bdr</v>
      </c>
      <c r="C1326" s="167" t="s">
        <v>54</v>
      </c>
      <c r="D1326" s="167" t="s">
        <v>2216</v>
      </c>
      <c r="E1326" s="167" t="s">
        <v>54</v>
      </c>
      <c r="F1326" s="167" t="s">
        <v>240</v>
      </c>
      <c r="G1326" s="167" t="s">
        <v>2134</v>
      </c>
    </row>
    <row r="1327">
      <c r="A1327" s="167" t="s">
        <v>2597</v>
      </c>
      <c r="B1327" s="167" t="str">
        <f>IFERROR(__xludf.DUMMYFUNCTION("GOOGLEFINANCE(A1327,""Name"")"),"Lamb Weston Holdings Inc Bdr")</f>
        <v>Lamb Weston Holdings Inc Bdr</v>
      </c>
      <c r="C1327" s="167" t="s">
        <v>54</v>
      </c>
      <c r="D1327" s="167" t="s">
        <v>476</v>
      </c>
      <c r="E1327" s="167" t="s">
        <v>54</v>
      </c>
      <c r="F1327" s="167" t="s">
        <v>240</v>
      </c>
      <c r="G1327" s="167" t="s">
        <v>2134</v>
      </c>
    </row>
    <row r="1328">
      <c r="A1328" s="167" t="s">
        <v>2598</v>
      </c>
      <c r="B1328" s="167" t="str">
        <f>IFERROR(__xludf.DUMMYFUNCTION("GOOGLEFINANCE(A1328,""Name"")"),"Las Vegas Sands Corporation Bdr")</f>
        <v>Las Vegas Sands Corporation Bdr</v>
      </c>
      <c r="C1328" s="167" t="s">
        <v>54</v>
      </c>
      <c r="D1328" s="167" t="s">
        <v>593</v>
      </c>
      <c r="E1328" s="167" t="s">
        <v>54</v>
      </c>
      <c r="F1328" s="167" t="s">
        <v>240</v>
      </c>
      <c r="G1328" s="167" t="s">
        <v>2134</v>
      </c>
    </row>
    <row r="1329">
      <c r="A1329" s="167" t="s">
        <v>2599</v>
      </c>
      <c r="B1329" s="167" t="str">
        <f>IFERROR(__xludf.DUMMYFUNCTION("GOOGLEFINANCE(A1329,""Name"")"),"#N/A")</f>
        <v>#N/A</v>
      </c>
      <c r="C1329" s="167" t="s">
        <v>54</v>
      </c>
      <c r="D1329" s="167" t="s">
        <v>2405</v>
      </c>
      <c r="E1329" s="167" t="s">
        <v>54</v>
      </c>
      <c r="F1329" s="167" t="s">
        <v>240</v>
      </c>
      <c r="G1329" s="167" t="s">
        <v>2134</v>
      </c>
    </row>
    <row r="1330">
      <c r="A1330" s="167" t="s">
        <v>2600</v>
      </c>
      <c r="B1330" s="167" t="str">
        <f>IFERROR(__xludf.DUMMYFUNCTION("GOOGLEFINANCE(A1330,""Name"")"),"Leidos Holdings Inc Bdr")</f>
        <v>Leidos Holdings Inc Bdr</v>
      </c>
      <c r="C1330" s="167" t="s">
        <v>54</v>
      </c>
      <c r="D1330" s="167" t="s">
        <v>2145</v>
      </c>
      <c r="E1330" s="167" t="s">
        <v>54</v>
      </c>
      <c r="F1330" s="167" t="s">
        <v>240</v>
      </c>
      <c r="G1330" s="167" t="s">
        <v>2134</v>
      </c>
    </row>
    <row r="1331">
      <c r="A1331" s="167" t="s">
        <v>2601</v>
      </c>
      <c r="B1331" s="167" t="str">
        <f>IFERROR(__xludf.DUMMYFUNCTION("GOOGLEFINANCE(A1331,""Name"")"),"Lennar Corp Brazilian Depositary Receipt")</f>
        <v>Lennar Corp Brazilian Depositary Receipt</v>
      </c>
      <c r="C1331" s="167" t="s">
        <v>54</v>
      </c>
      <c r="D1331" s="167" t="s">
        <v>2371</v>
      </c>
      <c r="E1331" s="167" t="s">
        <v>54</v>
      </c>
      <c r="F1331" s="167" t="s">
        <v>240</v>
      </c>
      <c r="G1331" s="167" t="s">
        <v>2134</v>
      </c>
    </row>
    <row r="1332">
      <c r="A1332" s="167" t="s">
        <v>2602</v>
      </c>
      <c r="B1332" s="167" t="str">
        <f>IFERROR(__xludf.DUMMYFUNCTION("GOOGLEFINANCE(A1332,""Name"")"),"#N/A")</f>
        <v>#N/A</v>
      </c>
      <c r="C1332" s="167" t="s">
        <v>54</v>
      </c>
      <c r="D1332" s="167" t="s">
        <v>2186</v>
      </c>
      <c r="E1332" s="167" t="s">
        <v>54</v>
      </c>
      <c r="F1332" s="167" t="s">
        <v>240</v>
      </c>
      <c r="G1332" s="167" t="s">
        <v>2134</v>
      </c>
    </row>
    <row r="1333">
      <c r="A1333" s="167" t="s">
        <v>2603</v>
      </c>
      <c r="B1333" s="167" t="str">
        <f>IFERROR(__xludf.DUMMYFUNCTION("GOOGLEFINANCE(A1333,""Name"")"),"#N/A")</f>
        <v>#N/A</v>
      </c>
      <c r="C1333" s="167" t="s">
        <v>54</v>
      </c>
      <c r="D1333" s="167" t="s">
        <v>733</v>
      </c>
      <c r="E1333" s="167" t="s">
        <v>54</v>
      </c>
      <c r="F1333" s="167" t="s">
        <v>240</v>
      </c>
      <c r="G1333" s="167" t="s">
        <v>2134</v>
      </c>
    </row>
    <row r="1334">
      <c r="A1334" s="167" t="s">
        <v>2604</v>
      </c>
      <c r="B1334" s="167" t="str">
        <f>IFERROR(__xludf.DUMMYFUNCTION("GOOGLEFINANCE(A1334,""Name"")"),"#N/A")</f>
        <v>#N/A</v>
      </c>
      <c r="C1334" s="167" t="s">
        <v>54</v>
      </c>
      <c r="D1334" s="167" t="s">
        <v>2186</v>
      </c>
      <c r="E1334" s="167" t="s">
        <v>54</v>
      </c>
      <c r="F1334" s="167" t="s">
        <v>2183</v>
      </c>
      <c r="G1334" s="167" t="s">
        <v>2134</v>
      </c>
    </row>
    <row r="1335">
      <c r="A1335" s="167" t="s">
        <v>2605</v>
      </c>
      <c r="B1335" s="167" t="str">
        <f>IFERROR(__xludf.DUMMYFUNCTION("GOOGLEFINANCE(A1335,""Name"")"),"#N/A")</f>
        <v>#N/A</v>
      </c>
      <c r="C1335" s="167" t="s">
        <v>54</v>
      </c>
      <c r="D1335" s="167" t="s">
        <v>2186</v>
      </c>
      <c r="E1335" s="167" t="s">
        <v>54</v>
      </c>
      <c r="F1335" s="167" t="s">
        <v>240</v>
      </c>
      <c r="G1335" s="167" t="s">
        <v>2134</v>
      </c>
    </row>
    <row r="1336">
      <c r="A1336" s="167" t="s">
        <v>2606</v>
      </c>
      <c r="B1336" s="167" t="str">
        <f>IFERROR(__xludf.DUMMYFUNCTION("GOOGLEFINANCE(A1336,""Name"")"),"#N/A")</f>
        <v>#N/A</v>
      </c>
      <c r="C1336" s="167" t="s">
        <v>54</v>
      </c>
      <c r="D1336" s="167" t="s">
        <v>2186</v>
      </c>
      <c r="E1336" s="167" t="s">
        <v>54</v>
      </c>
      <c r="F1336" s="167" t="s">
        <v>240</v>
      </c>
      <c r="G1336" s="167" t="s">
        <v>2134</v>
      </c>
    </row>
    <row r="1337">
      <c r="A1337" s="167" t="s">
        <v>2607</v>
      </c>
      <c r="B1337" s="167" t="str">
        <f>IFERROR(__xludf.DUMMYFUNCTION("GOOGLEFINANCE(A1337,""Name"")"),"Eli Lilly And Company BDR")</f>
        <v>Eli Lilly And Company BDR</v>
      </c>
      <c r="C1337" s="167" t="s">
        <v>54</v>
      </c>
      <c r="D1337" s="167" t="s">
        <v>2141</v>
      </c>
      <c r="E1337" s="167" t="s">
        <v>54</v>
      </c>
      <c r="F1337" s="167" t="s">
        <v>240</v>
      </c>
      <c r="G1337" s="167" t="s">
        <v>2134</v>
      </c>
    </row>
    <row r="1338">
      <c r="A1338" s="167" t="s">
        <v>2608</v>
      </c>
      <c r="B1338" s="167" t="str">
        <f>IFERROR(__xludf.DUMMYFUNCTION("GOOGLEFINANCE(A1338,""Name"")"),"Lincoln National Corp Bdr")</f>
        <v>Lincoln National Corp Bdr</v>
      </c>
      <c r="C1338" s="167" t="s">
        <v>54</v>
      </c>
      <c r="D1338" s="167" t="s">
        <v>2609</v>
      </c>
      <c r="E1338" s="167" t="s">
        <v>54</v>
      </c>
      <c r="F1338" s="167" t="s">
        <v>240</v>
      </c>
      <c r="G1338" s="167" t="s">
        <v>2134</v>
      </c>
    </row>
    <row r="1339">
      <c r="A1339" s="167" t="s">
        <v>2610</v>
      </c>
      <c r="B1339" s="167" t="str">
        <f>IFERROR(__xludf.DUMMYFUNCTION("GOOGLEFINANCE(A1339,""Name"")"),"#N/A")</f>
        <v>#N/A</v>
      </c>
      <c r="C1339" s="167" t="s">
        <v>54</v>
      </c>
      <c r="D1339" s="167" t="s">
        <v>205</v>
      </c>
      <c r="E1339" s="167" t="s">
        <v>54</v>
      </c>
      <c r="F1339" s="167" t="s">
        <v>240</v>
      </c>
      <c r="G1339" s="167" t="s">
        <v>2134</v>
      </c>
    </row>
    <row r="1340">
      <c r="A1340" s="167" t="s">
        <v>2611</v>
      </c>
      <c r="B1340" s="167" t="str">
        <f>IFERROR(__xludf.DUMMYFUNCTION("GOOGLEFINANCE(A1340,""Name"")"),"Live Nation Entertainment Inc Bdr")</f>
        <v>Live Nation Entertainment Inc Bdr</v>
      </c>
      <c r="C1340" s="167" t="s">
        <v>54</v>
      </c>
      <c r="D1340" s="167" t="s">
        <v>2612</v>
      </c>
      <c r="E1340" s="167" t="s">
        <v>54</v>
      </c>
      <c r="F1340" s="167" t="s">
        <v>240</v>
      </c>
      <c r="G1340" s="167" t="s">
        <v>2134</v>
      </c>
    </row>
    <row r="1341">
      <c r="A1341" s="167" t="s">
        <v>2613</v>
      </c>
      <c r="B1341" s="167" t="str">
        <f>IFERROR(__xludf.DUMMYFUNCTION("GOOGLEFINANCE(A1341,""Name"")"),"Lkq Corp Bdr")</f>
        <v>Lkq Corp Bdr</v>
      </c>
      <c r="C1341" s="167" t="s">
        <v>54</v>
      </c>
      <c r="D1341" s="167" t="s">
        <v>2148</v>
      </c>
      <c r="E1341" s="167" t="s">
        <v>54</v>
      </c>
      <c r="F1341" s="167" t="s">
        <v>240</v>
      </c>
      <c r="G1341" s="167" t="s">
        <v>2134</v>
      </c>
    </row>
    <row r="1342">
      <c r="A1342" s="167" t="s">
        <v>2614</v>
      </c>
      <c r="B1342" s="167" t="str">
        <f>IFERROR(__xludf.DUMMYFUNCTION("GOOGLEFINANCE(A1342,""Name"")"),"Lloyds Banking Group Bdr")</f>
        <v>Lloyds Banking Group Bdr</v>
      </c>
      <c r="C1342" s="167" t="s">
        <v>54</v>
      </c>
      <c r="D1342" s="167" t="s">
        <v>875</v>
      </c>
      <c r="E1342" s="167" t="s">
        <v>54</v>
      </c>
      <c r="F1342" s="167" t="s">
        <v>2183</v>
      </c>
      <c r="G1342" s="167" t="s">
        <v>2134</v>
      </c>
    </row>
    <row r="1343">
      <c r="A1343" s="167" t="s">
        <v>2615</v>
      </c>
      <c r="B1343" s="167" t="str">
        <f>IFERROR(__xludf.DUMMYFUNCTION("GOOGLEFINANCE(A1343,""Name"")"),"Loews Corp Bdr")</f>
        <v>Loews Corp Bdr</v>
      </c>
      <c r="C1343" s="167" t="s">
        <v>54</v>
      </c>
      <c r="D1343" s="167" t="s">
        <v>2609</v>
      </c>
      <c r="E1343" s="167" t="s">
        <v>54</v>
      </c>
      <c r="F1343" s="167" t="s">
        <v>240</v>
      </c>
      <c r="G1343" s="167" t="s">
        <v>2134</v>
      </c>
    </row>
    <row r="1344">
      <c r="A1344" s="167" t="s">
        <v>2616</v>
      </c>
      <c r="B1344" s="167" t="str">
        <f>IFERROR(__xludf.DUMMYFUNCTION("GOOGLEFINANCE(A1344,""Name"")"),"Lowes Companies Inc BDR")</f>
        <v>Lowes Companies Inc BDR</v>
      </c>
      <c r="C1344" s="167" t="s">
        <v>54</v>
      </c>
      <c r="D1344" s="167" t="s">
        <v>2617</v>
      </c>
      <c r="E1344" s="167" t="s">
        <v>54</v>
      </c>
      <c r="F1344" s="167" t="s">
        <v>240</v>
      </c>
      <c r="G1344" s="167" t="s">
        <v>2134</v>
      </c>
    </row>
    <row r="1345">
      <c r="A1345" s="167" t="s">
        <v>2618</v>
      </c>
      <c r="B1345" s="167" t="str">
        <f>IFERROR(__xludf.DUMMYFUNCTION("GOOGLEFINANCE(A1345,""Name"")"),"Lululemon Athletica Inc Bdr")</f>
        <v>Lululemon Athletica Inc Bdr</v>
      </c>
      <c r="C1345" s="167" t="s">
        <v>54</v>
      </c>
      <c r="D1345" s="167" t="s">
        <v>2619</v>
      </c>
      <c r="E1345" s="167" t="s">
        <v>54</v>
      </c>
      <c r="F1345" s="167" t="s">
        <v>240</v>
      </c>
      <c r="G1345" s="167" t="s">
        <v>2134</v>
      </c>
    </row>
    <row r="1346">
      <c r="A1346" s="167" t="s">
        <v>2620</v>
      </c>
      <c r="B1346" s="167" t="str">
        <f>IFERROR(__xludf.DUMMYFUNCTION("GOOGLEFINANCE(A1346,""Name"")"),"Lumen Technologies Brazilian Depositary Receipt")</f>
        <v>Lumen Technologies Brazilian Depositary Receipt</v>
      </c>
      <c r="C1346" s="167" t="s">
        <v>54</v>
      </c>
      <c r="D1346" s="167" t="s">
        <v>2145</v>
      </c>
      <c r="E1346" s="167" t="s">
        <v>54</v>
      </c>
      <c r="F1346" s="167" t="s">
        <v>240</v>
      </c>
      <c r="G1346" s="167" t="s">
        <v>2134</v>
      </c>
    </row>
    <row r="1347">
      <c r="A1347" s="167" t="s">
        <v>2621</v>
      </c>
      <c r="B1347" s="167" t="str">
        <f>IFERROR(__xludf.DUMMYFUNCTION("GOOGLEFINANCE(A1347,""Name"")"),"Lyondellbasell Industries Nv Bdr")</f>
        <v>Lyondellbasell Industries Nv Bdr</v>
      </c>
      <c r="C1347" s="167" t="s">
        <v>54</v>
      </c>
      <c r="D1347" s="167" t="s">
        <v>205</v>
      </c>
      <c r="E1347" s="167" t="s">
        <v>54</v>
      </c>
      <c r="F1347" s="167" t="s">
        <v>240</v>
      </c>
      <c r="G1347" s="167" t="s">
        <v>2134</v>
      </c>
    </row>
    <row r="1348">
      <c r="A1348" s="167" t="s">
        <v>2622</v>
      </c>
      <c r="B1348" s="167" t="str">
        <f>IFERROR(__xludf.DUMMYFUNCTION("GOOGLEFINANCE(A1348,""Name"")"),"M&amp;T Bank Corp Bdr")</f>
        <v>M&amp;T Bank Corp Bdr</v>
      </c>
      <c r="C1348" s="167" t="s">
        <v>54</v>
      </c>
      <c r="D1348" s="167" t="s">
        <v>2257</v>
      </c>
      <c r="E1348" s="167" t="s">
        <v>54</v>
      </c>
      <c r="F1348" s="167" t="s">
        <v>240</v>
      </c>
      <c r="G1348" s="167" t="s">
        <v>2134</v>
      </c>
    </row>
    <row r="1349">
      <c r="A1349" s="167" t="s">
        <v>2623</v>
      </c>
      <c r="B1349" s="167" t="str">
        <f>IFERROR(__xludf.DUMMYFUNCTION("GOOGLEFINANCE(A1349,""Name"")"),"Macys Inc BDR")</f>
        <v>Macys Inc BDR</v>
      </c>
      <c r="C1349" s="167" t="s">
        <v>54</v>
      </c>
      <c r="D1349" s="167" t="s">
        <v>524</v>
      </c>
      <c r="E1349" s="167" t="s">
        <v>54</v>
      </c>
      <c r="F1349" s="167" t="s">
        <v>240</v>
      </c>
      <c r="G1349" s="167" t="s">
        <v>2134</v>
      </c>
    </row>
    <row r="1350">
      <c r="A1350" s="167" t="s">
        <v>2624</v>
      </c>
      <c r="B1350" s="167" t="str">
        <f>IFERROR(__xludf.DUMMYFUNCTION("GOOGLEFINANCE(A1350,""Name"")"),"#N/A")</f>
        <v>#N/A</v>
      </c>
      <c r="C1350" s="167" t="s">
        <v>54</v>
      </c>
      <c r="D1350" s="167" t="s">
        <v>129</v>
      </c>
      <c r="E1350" s="167" t="s">
        <v>54</v>
      </c>
      <c r="F1350" s="167" t="s">
        <v>240</v>
      </c>
      <c r="G1350" s="167" t="s">
        <v>2134</v>
      </c>
    </row>
    <row r="1351">
      <c r="A1351" s="167" t="s">
        <v>2625</v>
      </c>
      <c r="B1351" s="167" t="str">
        <f>IFERROR(__xludf.DUMMYFUNCTION("GOOGLEFINANCE(A1351,""Name"")"),"Marathon Petroleum Corp Brazilian Depositary Receipt")</f>
        <v>Marathon Petroleum Corp Brazilian Depositary Receipt</v>
      </c>
      <c r="C1351" s="167" t="s">
        <v>54</v>
      </c>
      <c r="D1351" s="167" t="s">
        <v>129</v>
      </c>
      <c r="E1351" s="167" t="s">
        <v>54</v>
      </c>
      <c r="F1351" s="167" t="s">
        <v>240</v>
      </c>
      <c r="G1351" s="167" t="s">
        <v>2134</v>
      </c>
    </row>
    <row r="1352">
      <c r="A1352" s="167" t="s">
        <v>2626</v>
      </c>
      <c r="B1352" s="167" t="str">
        <f>IFERROR(__xludf.DUMMYFUNCTION("GOOGLEFINANCE(A1352,""Name"")"),"Markelgroup BDR")</f>
        <v>Markelgroup BDR</v>
      </c>
      <c r="C1352" s="167" t="s">
        <v>54</v>
      </c>
      <c r="D1352" s="167" t="s">
        <v>2194</v>
      </c>
      <c r="E1352" s="167" t="s">
        <v>54</v>
      </c>
      <c r="F1352" s="167" t="s">
        <v>240</v>
      </c>
      <c r="G1352" s="167" t="s">
        <v>2134</v>
      </c>
    </row>
    <row r="1353">
      <c r="A1353" s="167" t="s">
        <v>2627</v>
      </c>
      <c r="B1353" s="167" t="str">
        <f>IFERROR(__xludf.DUMMYFUNCTION("GOOGLEFINANCE(A1353,""Name"")"),"Marketaxess Holdings Bdr")</f>
        <v>Marketaxess Holdings Bdr</v>
      </c>
      <c r="C1353" s="167" t="s">
        <v>54</v>
      </c>
      <c r="D1353" s="167" t="s">
        <v>875</v>
      </c>
      <c r="E1353" s="167" t="s">
        <v>54</v>
      </c>
      <c r="F1353" s="167" t="s">
        <v>240</v>
      </c>
      <c r="G1353" s="167" t="s">
        <v>2134</v>
      </c>
    </row>
    <row r="1354">
      <c r="A1354" s="167" t="s">
        <v>2628</v>
      </c>
      <c r="B1354" s="167" t="str">
        <f>IFERROR(__xludf.DUMMYFUNCTION("GOOGLEFINANCE(A1354,""Name"")"),"Marriott International Inc Bdr")</f>
        <v>Marriott International Inc Bdr</v>
      </c>
      <c r="C1354" s="167" t="s">
        <v>54</v>
      </c>
      <c r="D1354" s="167" t="s">
        <v>2629</v>
      </c>
      <c r="E1354" s="167" t="s">
        <v>54</v>
      </c>
      <c r="F1354" s="167" t="s">
        <v>240</v>
      </c>
      <c r="G1354" s="167" t="s">
        <v>2134</v>
      </c>
    </row>
    <row r="1355">
      <c r="A1355" s="167" t="s">
        <v>2630</v>
      </c>
      <c r="B1355" s="167" t="str">
        <f>IFERROR(__xludf.DUMMYFUNCTION("GOOGLEFINANCE(A1355,""Name"")"),"Marsh E Mclennan Cos Inc Bdr")</f>
        <v>Marsh E Mclennan Cos Inc Bdr</v>
      </c>
      <c r="C1355" s="167" t="s">
        <v>54</v>
      </c>
      <c r="D1355" s="167" t="s">
        <v>1051</v>
      </c>
      <c r="E1355" s="167" t="s">
        <v>54</v>
      </c>
      <c r="F1355" s="167" t="s">
        <v>240</v>
      </c>
      <c r="G1355" s="167" t="s">
        <v>2134</v>
      </c>
    </row>
    <row r="1356">
      <c r="A1356" s="167" t="s">
        <v>2631</v>
      </c>
      <c r="B1356" s="167" t="str">
        <f>IFERROR(__xludf.DUMMYFUNCTION("GOOGLEFINANCE(A1356,""Name"")"),"Martin Marietta Materials Inc Bdr")</f>
        <v>Martin Marietta Materials Inc Bdr</v>
      </c>
      <c r="C1356" s="167" t="s">
        <v>54</v>
      </c>
      <c r="D1356" s="167" t="s">
        <v>2371</v>
      </c>
      <c r="E1356" s="167" t="s">
        <v>54</v>
      </c>
      <c r="F1356" s="167" t="s">
        <v>240</v>
      </c>
      <c r="G1356" s="167" t="s">
        <v>2134</v>
      </c>
    </row>
    <row r="1357">
      <c r="A1357" s="167" t="s">
        <v>2632</v>
      </c>
      <c r="B1357" s="167" t="str">
        <f>IFERROR(__xludf.DUMMYFUNCTION("GOOGLEFINANCE(A1357,""Name"")"),"Masco Corp Brazilian Depositary Receipt")</f>
        <v>Masco Corp Brazilian Depositary Receipt</v>
      </c>
      <c r="C1357" s="167" t="s">
        <v>54</v>
      </c>
      <c r="D1357" s="167" t="s">
        <v>2371</v>
      </c>
      <c r="E1357" s="167" t="s">
        <v>54</v>
      </c>
      <c r="F1357" s="167" t="s">
        <v>240</v>
      </c>
      <c r="G1357" s="167" t="s">
        <v>2134</v>
      </c>
    </row>
    <row r="1358">
      <c r="A1358" s="167" t="s">
        <v>2633</v>
      </c>
      <c r="B1358" s="167" t="str">
        <f>IFERROR(__xludf.DUMMYFUNCTION("GOOGLEFINANCE(A1358,""Name"")"),"Match Group Bdr")</f>
        <v>Match Group Bdr</v>
      </c>
      <c r="C1358" s="167" t="s">
        <v>54</v>
      </c>
      <c r="D1358" s="167" t="s">
        <v>2186</v>
      </c>
      <c r="E1358" s="167" t="s">
        <v>54</v>
      </c>
      <c r="F1358" s="167" t="s">
        <v>240</v>
      </c>
      <c r="G1358" s="167" t="s">
        <v>2134</v>
      </c>
    </row>
    <row r="1359">
      <c r="A1359" s="167" t="s">
        <v>2634</v>
      </c>
      <c r="B1359" s="167" t="str">
        <f>IFERROR(__xludf.DUMMYFUNCTION("GOOGLEFINANCE(A1359,""Name"")"),"#N/A")</f>
        <v>#N/A</v>
      </c>
      <c r="C1359" s="167" t="s">
        <v>54</v>
      </c>
      <c r="D1359" s="167" t="s">
        <v>2216</v>
      </c>
      <c r="E1359" s="167" t="s">
        <v>54</v>
      </c>
      <c r="F1359" s="167" t="s">
        <v>240</v>
      </c>
      <c r="G1359" s="167" t="s">
        <v>2134</v>
      </c>
    </row>
    <row r="1360">
      <c r="A1360" s="167" t="s">
        <v>2635</v>
      </c>
      <c r="B1360" s="167" t="str">
        <f>IFERROR(__xludf.DUMMYFUNCTION("GOOGLEFINANCE(A1360,""Name"")"),"Mccormick &amp; Co Inc Bdr")</f>
        <v>Mccormick &amp; Co Inc Bdr</v>
      </c>
      <c r="C1360" s="167" t="s">
        <v>54</v>
      </c>
      <c r="D1360" s="167" t="s">
        <v>476</v>
      </c>
      <c r="E1360" s="167" t="s">
        <v>54</v>
      </c>
      <c r="F1360" s="167" t="s">
        <v>240</v>
      </c>
      <c r="G1360" s="167" t="s">
        <v>2134</v>
      </c>
    </row>
    <row r="1361">
      <c r="A1361" s="167" t="s">
        <v>2636</v>
      </c>
      <c r="B1361" s="167" t="str">
        <f>IFERROR(__xludf.DUMMYFUNCTION("GOOGLEFINANCE(A1361,""Name"")"),"Mcdonalds'S Corp BDR")</f>
        <v>Mcdonalds'S Corp BDR</v>
      </c>
      <c r="C1361" s="167" t="s">
        <v>54</v>
      </c>
      <c r="D1361" s="167" t="s">
        <v>2326</v>
      </c>
      <c r="E1361" s="167" t="s">
        <v>54</v>
      </c>
      <c r="F1361" s="167" t="s">
        <v>240</v>
      </c>
      <c r="G1361" s="167" t="s">
        <v>2134</v>
      </c>
    </row>
    <row r="1362">
      <c r="A1362" s="167" t="s">
        <v>2637</v>
      </c>
      <c r="B1362" s="167" t="str">
        <f>IFERROR(__xludf.DUMMYFUNCTION("GOOGLEFINANCE(A1362,""Name"")"),"Mckesson Corp Bdr")</f>
        <v>Mckesson Corp Bdr</v>
      </c>
      <c r="C1362" s="167" t="s">
        <v>54</v>
      </c>
      <c r="D1362" s="167" t="s">
        <v>675</v>
      </c>
      <c r="E1362" s="167" t="s">
        <v>54</v>
      </c>
      <c r="F1362" s="167" t="s">
        <v>240</v>
      </c>
      <c r="G1362" s="167" t="s">
        <v>2134</v>
      </c>
    </row>
    <row r="1363">
      <c r="A1363" s="167" t="s">
        <v>2638</v>
      </c>
      <c r="B1363" s="167" t="str">
        <f>IFERROR(__xludf.DUMMYFUNCTION("GOOGLEFINANCE(A1363,""Name"")"),"Medtronic Public Limited Company BDR")</f>
        <v>Medtronic Public Limited Company BDR</v>
      </c>
      <c r="C1363" s="167" t="s">
        <v>54</v>
      </c>
      <c r="D1363" s="167" t="s">
        <v>245</v>
      </c>
      <c r="E1363" s="167" t="s">
        <v>54</v>
      </c>
      <c r="F1363" s="167" t="s">
        <v>240</v>
      </c>
      <c r="G1363" s="167" t="s">
        <v>2134</v>
      </c>
    </row>
    <row r="1364">
      <c r="A1364" s="167" t="s">
        <v>2639</v>
      </c>
      <c r="B1364" s="167" t="str">
        <f>IFERROR(__xludf.DUMMYFUNCTION("GOOGLEFINANCE(A1364,""Name"")"),"Melco Resorts &amp; Entertainment Bdr")</f>
        <v>Melco Resorts &amp; Entertainment Bdr</v>
      </c>
      <c r="C1364" s="167" t="s">
        <v>54</v>
      </c>
      <c r="D1364" s="167" t="s">
        <v>593</v>
      </c>
      <c r="E1364" s="167" t="s">
        <v>54</v>
      </c>
      <c r="F1364" s="167" t="s">
        <v>2323</v>
      </c>
      <c r="G1364" s="167" t="s">
        <v>2134</v>
      </c>
    </row>
    <row r="1365">
      <c r="A1365" s="167" t="s">
        <v>2640</v>
      </c>
      <c r="B1365" s="167" t="str">
        <f>IFERROR(__xludf.DUMMYFUNCTION("GOOGLEFINANCE(A1365,""Name"")"),"Mercadolibre Inc BDR")</f>
        <v>Mercadolibre Inc BDR</v>
      </c>
      <c r="C1365" s="167" t="s">
        <v>54</v>
      </c>
      <c r="D1365" s="167" t="s">
        <v>2186</v>
      </c>
      <c r="E1365" s="167" t="s">
        <v>54</v>
      </c>
      <c r="F1365" s="167" t="s">
        <v>2641</v>
      </c>
      <c r="G1365" s="167" t="s">
        <v>2134</v>
      </c>
    </row>
    <row r="1366">
      <c r="A1366" s="167" t="s">
        <v>2642</v>
      </c>
      <c r="B1366" s="167" t="str">
        <f>IFERROR(__xludf.DUMMYFUNCTION("GOOGLEFINANCE(A1366,""Name"")"),"Merck BDR")</f>
        <v>Merck BDR</v>
      </c>
      <c r="C1366" s="167" t="s">
        <v>54</v>
      </c>
      <c r="D1366" s="167" t="s">
        <v>2141</v>
      </c>
      <c r="E1366" s="167" t="s">
        <v>54</v>
      </c>
      <c r="F1366" s="167" t="s">
        <v>240</v>
      </c>
      <c r="G1366" s="167" t="s">
        <v>2134</v>
      </c>
    </row>
    <row r="1367">
      <c r="A1367" s="167" t="s">
        <v>2643</v>
      </c>
      <c r="B1367" s="167" t="str">
        <f>IFERROR(__xludf.DUMMYFUNCTION("GOOGLEFINANCE(A1367,""Name"")"),"Mettler-Toledo International Inc Bdr")</f>
        <v>Mettler-Toledo International Inc Bdr</v>
      </c>
      <c r="C1367" s="167" t="s">
        <v>54</v>
      </c>
      <c r="D1367" s="167" t="s">
        <v>2644</v>
      </c>
      <c r="E1367" s="167" t="s">
        <v>54</v>
      </c>
      <c r="F1367" s="167" t="s">
        <v>240</v>
      </c>
      <c r="G1367" s="167" t="s">
        <v>2134</v>
      </c>
    </row>
    <row r="1368">
      <c r="A1368" s="167" t="s">
        <v>2645</v>
      </c>
      <c r="B1368" s="167" t="str">
        <f>IFERROR(__xludf.DUMMYFUNCTION("GOOGLEFINANCE(A1368,""Name"")"),"Mgm Resorts International Brazilian Depositary Receipt")</f>
        <v>Mgm Resorts International Brazilian Depositary Receipt</v>
      </c>
      <c r="C1368" s="167" t="s">
        <v>54</v>
      </c>
      <c r="D1368" s="167" t="s">
        <v>2517</v>
      </c>
      <c r="E1368" s="167" t="s">
        <v>54</v>
      </c>
      <c r="F1368" s="167" t="s">
        <v>240</v>
      </c>
      <c r="G1368" s="167" t="s">
        <v>2134</v>
      </c>
    </row>
    <row r="1369">
      <c r="A1369" s="167" t="s">
        <v>2646</v>
      </c>
      <c r="B1369" s="167" t="str">
        <f>IFERROR(__xludf.DUMMYFUNCTION("GOOGLEFINANCE(A1369,""Name"")"),"Microchip Technology Inc Brazilian Depositary Receipt")</f>
        <v>Microchip Technology Inc Brazilian Depositary Receipt</v>
      </c>
      <c r="C1369" s="167" t="s">
        <v>54</v>
      </c>
      <c r="D1369" s="167" t="s">
        <v>2145</v>
      </c>
      <c r="E1369" s="167" t="s">
        <v>54</v>
      </c>
      <c r="F1369" s="167" t="s">
        <v>240</v>
      </c>
      <c r="G1369" s="167" t="s">
        <v>2134</v>
      </c>
    </row>
    <row r="1370">
      <c r="A1370" s="167" t="s">
        <v>2647</v>
      </c>
      <c r="B1370" s="167" t="str">
        <f>IFERROR(__xludf.DUMMYFUNCTION("GOOGLEFINANCE(A1370,""Name"")"),"Micron Technology Inc BDR")</f>
        <v>Micron Technology Inc BDR</v>
      </c>
      <c r="C1370" s="167" t="s">
        <v>54</v>
      </c>
      <c r="D1370" s="167" t="s">
        <v>2145</v>
      </c>
      <c r="E1370" s="167" t="s">
        <v>54</v>
      </c>
      <c r="F1370" s="167" t="s">
        <v>240</v>
      </c>
      <c r="G1370" s="167" t="s">
        <v>2134</v>
      </c>
    </row>
    <row r="1371">
      <c r="A1371" s="167" t="s">
        <v>2648</v>
      </c>
      <c r="B1371" s="167" t="str">
        <f>IFERROR(__xludf.DUMMYFUNCTION("GOOGLEFINANCE(A1371,""Name"")"),"Microsoft BDR")</f>
        <v>Microsoft BDR</v>
      </c>
      <c r="C1371" s="167" t="s">
        <v>54</v>
      </c>
      <c r="D1371" s="167" t="s">
        <v>2547</v>
      </c>
      <c r="E1371" s="167" t="s">
        <v>54</v>
      </c>
      <c r="F1371" s="167" t="s">
        <v>240</v>
      </c>
      <c r="G1371" s="167" t="s">
        <v>2134</v>
      </c>
    </row>
    <row r="1372">
      <c r="A1372" s="167" t="s">
        <v>2649</v>
      </c>
      <c r="B1372" s="167" t="str">
        <f>IFERROR(__xludf.DUMMYFUNCTION("GOOGLEFINANCE(A1372,""Name"")"),"Mid-America Apartment Communities Inc Bdr")</f>
        <v>Mid-America Apartment Communities Inc Bdr</v>
      </c>
      <c r="C1372" s="167" t="s">
        <v>54</v>
      </c>
      <c r="D1372" s="167" t="s">
        <v>2163</v>
      </c>
      <c r="E1372" s="167" t="s">
        <v>54</v>
      </c>
      <c r="F1372" s="167" t="s">
        <v>240</v>
      </c>
      <c r="G1372" s="167" t="s">
        <v>2134</v>
      </c>
    </row>
    <row r="1373">
      <c r="A1373" s="167" t="s">
        <v>2650</v>
      </c>
      <c r="B1373" s="167" t="str">
        <f>IFERROR(__xludf.DUMMYFUNCTION("GOOGLEFINANCE(A1373,""Name"")"),"Mitsubishi Ufj Financial Bdr")</f>
        <v>Mitsubishi Ufj Financial Bdr</v>
      </c>
      <c r="C1373" s="167" t="s">
        <v>54</v>
      </c>
      <c r="D1373" s="167" t="s">
        <v>875</v>
      </c>
      <c r="E1373" s="167" t="s">
        <v>54</v>
      </c>
      <c r="F1373" s="167" t="s">
        <v>2651</v>
      </c>
      <c r="G1373" s="167" t="s">
        <v>2134</v>
      </c>
    </row>
    <row r="1374">
      <c r="A1374" s="167" t="s">
        <v>2652</v>
      </c>
      <c r="B1374" s="167" t="str">
        <f>IFERROR(__xludf.DUMMYFUNCTION("GOOGLEFINANCE(A1374,""Name"")"),"Mobile Telesystems Bdr")</f>
        <v>Mobile Telesystems Bdr</v>
      </c>
      <c r="C1374" s="167" t="s">
        <v>54</v>
      </c>
      <c r="D1374" s="167" t="s">
        <v>2186</v>
      </c>
      <c r="E1374" s="167" t="s">
        <v>54</v>
      </c>
      <c r="F1374" s="167" t="s">
        <v>2653</v>
      </c>
      <c r="G1374" s="167" t="s">
        <v>2134</v>
      </c>
    </row>
    <row r="1375">
      <c r="A1375" s="167" t="s">
        <v>2654</v>
      </c>
      <c r="B1375" s="167" t="str">
        <f>IFERROR(__xludf.DUMMYFUNCTION("GOOGLEFINANCE(A1375,""Name"")"),"Moderna Inc Bdr")</f>
        <v>Moderna Inc Bdr</v>
      </c>
      <c r="C1375" s="167" t="s">
        <v>54</v>
      </c>
      <c r="D1375" s="167" t="s">
        <v>2176</v>
      </c>
      <c r="E1375" s="167" t="s">
        <v>54</v>
      </c>
      <c r="F1375" s="167" t="s">
        <v>240</v>
      </c>
      <c r="G1375" s="167" t="s">
        <v>2134</v>
      </c>
    </row>
    <row r="1376">
      <c r="A1376" s="167" t="s">
        <v>2655</v>
      </c>
      <c r="B1376" s="167" t="str">
        <f>IFERROR(__xludf.DUMMYFUNCTION("GOOGLEFINANCE(A1376,""Name"")"),"Mohawk Industries Inc Bdr")</f>
        <v>Mohawk Industries Inc Bdr</v>
      </c>
      <c r="C1376" s="167" t="s">
        <v>54</v>
      </c>
      <c r="D1376" s="167" t="s">
        <v>2145</v>
      </c>
      <c r="E1376" s="167" t="s">
        <v>54</v>
      </c>
      <c r="F1376" s="167" t="s">
        <v>240</v>
      </c>
      <c r="G1376" s="167" t="s">
        <v>2134</v>
      </c>
    </row>
    <row r="1377">
      <c r="A1377" s="167" t="s">
        <v>2656</v>
      </c>
      <c r="B1377" s="167" t="str">
        <f>IFERROR(__xludf.DUMMYFUNCTION("GOOGLEFINANCE(A1377,""Name"")"),"Molson Coors Brewing Co Bdr")</f>
        <v>Molson Coors Brewing Co Bdr</v>
      </c>
      <c r="C1377" s="167" t="s">
        <v>54</v>
      </c>
      <c r="D1377" s="167" t="s">
        <v>465</v>
      </c>
      <c r="E1377" s="167" t="s">
        <v>54</v>
      </c>
      <c r="F1377" s="167" t="s">
        <v>240</v>
      </c>
      <c r="G1377" s="167" t="s">
        <v>2134</v>
      </c>
    </row>
    <row r="1378">
      <c r="A1378" s="167" t="s">
        <v>2657</v>
      </c>
      <c r="B1378" s="167" t="str">
        <f>IFERROR(__xludf.DUMMYFUNCTION("GOOGLEFINANCE(A1378,""Name"")"),"Mondelez International Bdr")</f>
        <v>Mondelez International Bdr</v>
      </c>
      <c r="C1378" s="167" t="s">
        <v>54</v>
      </c>
      <c r="D1378" s="167" t="s">
        <v>2366</v>
      </c>
      <c r="E1378" s="167" t="s">
        <v>54</v>
      </c>
      <c r="F1378" s="167" t="s">
        <v>240</v>
      </c>
      <c r="G1378" s="167" t="s">
        <v>2134</v>
      </c>
    </row>
    <row r="1379">
      <c r="A1379" s="167" t="s">
        <v>2658</v>
      </c>
      <c r="B1379" s="167" t="str">
        <f>IFERROR(__xludf.DUMMYFUNCTION("GOOGLEFINANCE(A1379,""Name"")"),"Mongodb Inc Bdr")</f>
        <v>Mongodb Inc Bdr</v>
      </c>
      <c r="C1379" s="167" t="s">
        <v>54</v>
      </c>
      <c r="D1379" s="167" t="s">
        <v>2145</v>
      </c>
      <c r="E1379" s="167" t="s">
        <v>54</v>
      </c>
      <c r="F1379" s="167" t="s">
        <v>240</v>
      </c>
      <c r="G1379" s="167" t="s">
        <v>2134</v>
      </c>
    </row>
    <row r="1380">
      <c r="A1380" s="167" t="s">
        <v>2659</v>
      </c>
      <c r="B1380" s="167" t="str">
        <f>IFERROR(__xludf.DUMMYFUNCTION("GOOGLEFINANCE(A1380,""Name"")"),"Monster Beverage Corp Bdr")</f>
        <v>Monster Beverage Corp Bdr</v>
      </c>
      <c r="C1380" s="167" t="s">
        <v>54</v>
      </c>
      <c r="D1380" s="167" t="s">
        <v>465</v>
      </c>
      <c r="E1380" s="167" t="s">
        <v>54</v>
      </c>
      <c r="F1380" s="167" t="s">
        <v>240</v>
      </c>
      <c r="G1380" s="167" t="s">
        <v>2134</v>
      </c>
    </row>
    <row r="1381">
      <c r="A1381" s="167" t="s">
        <v>2660</v>
      </c>
      <c r="B1381" s="167" t="str">
        <f>IFERROR(__xludf.DUMMYFUNCTION("GOOGLEFINANCE(A1381,""Name"")"),"Moodys Corp BDR")</f>
        <v>Moodys Corp BDR</v>
      </c>
      <c r="C1381" s="167" t="s">
        <v>54</v>
      </c>
      <c r="D1381" s="167" t="s">
        <v>2194</v>
      </c>
      <c r="E1381" s="167" t="s">
        <v>54</v>
      </c>
      <c r="F1381" s="167" t="s">
        <v>240</v>
      </c>
      <c r="G1381" s="167" t="s">
        <v>2134</v>
      </c>
    </row>
    <row r="1382">
      <c r="A1382" s="167" t="s">
        <v>2661</v>
      </c>
      <c r="B1382" s="167" t="str">
        <f>IFERROR(__xludf.DUMMYFUNCTION("GOOGLEFINANCE(A1382,""Name"")"),"The Mosaic Company Bdr")</f>
        <v>The Mosaic Company Bdr</v>
      </c>
      <c r="C1382" s="167" t="s">
        <v>54</v>
      </c>
      <c r="D1382" s="167" t="s">
        <v>158</v>
      </c>
      <c r="E1382" s="167" t="s">
        <v>54</v>
      </c>
      <c r="F1382" s="167" t="s">
        <v>240</v>
      </c>
      <c r="G1382" s="167" t="s">
        <v>2134</v>
      </c>
    </row>
    <row r="1383">
      <c r="A1383" s="167" t="s">
        <v>2662</v>
      </c>
      <c r="B1383" s="167" t="str">
        <f>IFERROR(__xludf.DUMMYFUNCTION("GOOGLEFINANCE(A1383,""Name"")"),"Motorola Solutions Inc Bdr")</f>
        <v>Motorola Solutions Inc Bdr</v>
      </c>
      <c r="C1383" s="167" t="s">
        <v>54</v>
      </c>
      <c r="D1383" s="167" t="s">
        <v>2371</v>
      </c>
      <c r="E1383" s="167" t="s">
        <v>54</v>
      </c>
      <c r="F1383" s="167" t="s">
        <v>240</v>
      </c>
      <c r="G1383" s="167" t="s">
        <v>2134</v>
      </c>
    </row>
    <row r="1384">
      <c r="A1384" s="167" t="s">
        <v>2663</v>
      </c>
      <c r="B1384" s="167" t="str">
        <f>IFERROR(__xludf.DUMMYFUNCTION("GOOGLEFINANCE(A1384,""Name"")"),"Msci Inc Bdr")</f>
        <v>Msci Inc Bdr</v>
      </c>
      <c r="C1384" s="167" t="s">
        <v>54</v>
      </c>
      <c r="D1384" s="167" t="s">
        <v>2194</v>
      </c>
      <c r="E1384" s="167" t="s">
        <v>54</v>
      </c>
      <c r="F1384" s="167" t="s">
        <v>240</v>
      </c>
      <c r="G1384" s="167" t="s">
        <v>2134</v>
      </c>
    </row>
    <row r="1385">
      <c r="A1385" s="167" t="s">
        <v>2664</v>
      </c>
      <c r="B1385" s="167" t="str">
        <f>IFERROR(__xludf.DUMMYFUNCTION("GOOGLEFINANCE(A1385,""Name"")"),"Nasdaq Inc Bdr")</f>
        <v>Nasdaq Inc Bdr</v>
      </c>
      <c r="C1385" s="167" t="s">
        <v>54</v>
      </c>
      <c r="D1385" s="167" t="s">
        <v>2194</v>
      </c>
      <c r="E1385" s="167" t="s">
        <v>54</v>
      </c>
      <c r="F1385" s="167" t="s">
        <v>240</v>
      </c>
      <c r="G1385" s="167" t="s">
        <v>2134</v>
      </c>
    </row>
    <row r="1386">
      <c r="A1386" s="167" t="s">
        <v>2665</v>
      </c>
      <c r="B1386" s="167" t="str">
        <f>IFERROR(__xludf.DUMMYFUNCTION("GOOGLEFINANCE(A1386,""Name"")"),"National Grid Bdr")</f>
        <v>National Grid Bdr</v>
      </c>
      <c r="C1386" s="167" t="s">
        <v>54</v>
      </c>
      <c r="D1386" s="167" t="s">
        <v>2428</v>
      </c>
      <c r="E1386" s="167" t="s">
        <v>54</v>
      </c>
      <c r="F1386" s="167" t="s">
        <v>2183</v>
      </c>
      <c r="G1386" s="167" t="s">
        <v>2134</v>
      </c>
    </row>
    <row r="1387">
      <c r="A1387" s="167" t="s">
        <v>2666</v>
      </c>
      <c r="B1387" s="167" t="str">
        <f>IFERROR(__xludf.DUMMYFUNCTION("GOOGLEFINANCE(A1387,""Name"")"),"Nov Inc Bdr")</f>
        <v>Nov Inc Bdr</v>
      </c>
      <c r="C1387" s="167" t="s">
        <v>54</v>
      </c>
      <c r="D1387" s="167" t="s">
        <v>129</v>
      </c>
      <c r="E1387" s="167" t="s">
        <v>54</v>
      </c>
      <c r="F1387" s="167" t="s">
        <v>240</v>
      </c>
      <c r="G1387" s="167" t="s">
        <v>2134</v>
      </c>
    </row>
    <row r="1388">
      <c r="A1388" s="167" t="s">
        <v>2667</v>
      </c>
      <c r="B1388" s="167" t="str">
        <f>IFERROR(__xludf.DUMMYFUNCTION("GOOGLEFINANCE(A1388,""Name"")"),"Natwest Group Plc Bdr")</f>
        <v>Natwest Group Plc Bdr</v>
      </c>
      <c r="C1388" s="167" t="s">
        <v>54</v>
      </c>
      <c r="D1388" s="167" t="s">
        <v>875</v>
      </c>
      <c r="E1388" s="167" t="s">
        <v>54</v>
      </c>
      <c r="F1388" s="167" t="s">
        <v>2183</v>
      </c>
      <c r="G1388" s="167" t="s">
        <v>2134</v>
      </c>
    </row>
    <row r="1389">
      <c r="A1389" s="167" t="s">
        <v>2668</v>
      </c>
      <c r="B1389" s="167" t="str">
        <f>IFERROR(__xludf.DUMMYFUNCTION("GOOGLEFINANCE(A1389,""Name"")"),"Netapp Inc Brazilian Depositary Receipt")</f>
        <v>Netapp Inc Brazilian Depositary Receipt</v>
      </c>
      <c r="C1389" s="167" t="s">
        <v>54</v>
      </c>
      <c r="D1389" s="167" t="s">
        <v>2145</v>
      </c>
      <c r="E1389" s="167" t="s">
        <v>54</v>
      </c>
      <c r="F1389" s="167" t="s">
        <v>240</v>
      </c>
      <c r="G1389" s="167" t="s">
        <v>2134</v>
      </c>
    </row>
    <row r="1390">
      <c r="A1390" s="167" t="s">
        <v>2669</v>
      </c>
      <c r="B1390" s="167" t="str">
        <f>IFERROR(__xludf.DUMMYFUNCTION("GOOGLEFINANCE(A1390,""Name"")"),"Netease Inc Bdr")</f>
        <v>Netease Inc Bdr</v>
      </c>
      <c r="C1390" s="167" t="s">
        <v>54</v>
      </c>
      <c r="D1390" s="167" t="s">
        <v>2145</v>
      </c>
      <c r="E1390" s="167" t="s">
        <v>54</v>
      </c>
      <c r="F1390" s="167" t="s">
        <v>2167</v>
      </c>
      <c r="G1390" s="167" t="s">
        <v>2134</v>
      </c>
    </row>
    <row r="1391">
      <c r="A1391" s="167" t="s">
        <v>2670</v>
      </c>
      <c r="B1391" s="167" t="str">
        <f>IFERROR(__xludf.DUMMYFUNCTION("GOOGLEFINANCE(A1391,""Name"")"),"Netflix Inc. BDR")</f>
        <v>Netflix Inc. BDR</v>
      </c>
      <c r="C1391" s="167" t="s">
        <v>54</v>
      </c>
      <c r="D1391" s="167" t="s">
        <v>2671</v>
      </c>
      <c r="E1391" s="167" t="s">
        <v>54</v>
      </c>
      <c r="F1391" s="167" t="s">
        <v>240</v>
      </c>
      <c r="G1391" s="167" t="s">
        <v>2134</v>
      </c>
    </row>
    <row r="1392">
      <c r="A1392" s="167" t="s">
        <v>2672</v>
      </c>
      <c r="B1392" s="167" t="str">
        <f>IFERROR(__xludf.DUMMYFUNCTION("GOOGLEFINANCE(A1392,""Name"")"),"Neurocrine Biosciences Bdr")</f>
        <v>Neurocrine Biosciences Bdr</v>
      </c>
      <c r="C1392" s="167" t="s">
        <v>54</v>
      </c>
      <c r="D1392" s="167" t="s">
        <v>2176</v>
      </c>
      <c r="E1392" s="167" t="s">
        <v>54</v>
      </c>
      <c r="F1392" s="167" t="s">
        <v>240</v>
      </c>
      <c r="G1392" s="167" t="s">
        <v>2134</v>
      </c>
    </row>
    <row r="1393">
      <c r="A1393" s="167" t="s">
        <v>2673</v>
      </c>
      <c r="B1393" s="167" t="str">
        <f>IFERROR(__xludf.DUMMYFUNCTION("GOOGLEFINANCE(A1393,""Name"")"),"New Oriental Ed Tech Group Inc Bdr")</f>
        <v>New Oriental Ed Tech Group Inc Bdr</v>
      </c>
      <c r="C1393" s="167" t="s">
        <v>54</v>
      </c>
      <c r="D1393" s="167" t="s">
        <v>2674</v>
      </c>
      <c r="E1393" s="167" t="s">
        <v>54</v>
      </c>
      <c r="F1393" s="167" t="s">
        <v>2167</v>
      </c>
      <c r="G1393" s="167" t="s">
        <v>2134</v>
      </c>
    </row>
    <row r="1394">
      <c r="A1394" s="167" t="s">
        <v>2675</v>
      </c>
      <c r="B1394" s="167" t="str">
        <f>IFERROR(__xludf.DUMMYFUNCTION("GOOGLEFINANCE(A1394,""Name"")"),"Newell Brands Inc Brazilian Depositary Receipt")</f>
        <v>Newell Brands Inc Brazilian Depositary Receipt</v>
      </c>
      <c r="C1394" s="167" t="s">
        <v>54</v>
      </c>
      <c r="D1394" s="167" t="s">
        <v>2676</v>
      </c>
      <c r="E1394" s="167" t="s">
        <v>54</v>
      </c>
      <c r="F1394" s="167" t="s">
        <v>240</v>
      </c>
      <c r="G1394" s="167" t="s">
        <v>2134</v>
      </c>
    </row>
    <row r="1395">
      <c r="A1395" s="167" t="s">
        <v>2677</v>
      </c>
      <c r="B1395" s="167" t="str">
        <f>IFERROR(__xludf.DUMMYFUNCTION("GOOGLEFINANCE(A1395,""Name"")"),"Newmont Goldcorp Corp Brazilian Depositary Receipt")</f>
        <v>Newmont Goldcorp Corp Brazilian Depositary Receipt</v>
      </c>
      <c r="C1395" s="167" t="s">
        <v>54</v>
      </c>
      <c r="D1395" s="167" t="s">
        <v>159</v>
      </c>
      <c r="E1395" s="167" t="s">
        <v>54</v>
      </c>
      <c r="F1395" s="167" t="s">
        <v>240</v>
      </c>
      <c r="G1395" s="167" t="s">
        <v>2134</v>
      </c>
    </row>
    <row r="1396">
      <c r="A1396" s="167" t="s">
        <v>2678</v>
      </c>
      <c r="B1396" s="167" t="str">
        <f>IFERROR(__xludf.DUMMYFUNCTION("GOOGLEFINANCE(A1396,""Name"")"),"News Corp Bdr")</f>
        <v>News Corp Bdr</v>
      </c>
      <c r="C1396" s="167" t="s">
        <v>54</v>
      </c>
      <c r="D1396" s="167" t="s">
        <v>2186</v>
      </c>
      <c r="E1396" s="167" t="s">
        <v>54</v>
      </c>
      <c r="F1396" s="167" t="s">
        <v>240</v>
      </c>
      <c r="G1396" s="167" t="s">
        <v>2134</v>
      </c>
    </row>
    <row r="1397">
      <c r="A1397" s="167" t="s">
        <v>2679</v>
      </c>
      <c r="B1397" s="167" t="str">
        <f>IFERROR(__xludf.DUMMYFUNCTION("GOOGLEFINANCE(A1397,""Name"")"),"News Corp Bdr")</f>
        <v>News Corp Bdr</v>
      </c>
      <c r="C1397" s="167" t="s">
        <v>54</v>
      </c>
      <c r="D1397" s="167" t="s">
        <v>2554</v>
      </c>
      <c r="E1397" s="167" t="s">
        <v>54</v>
      </c>
      <c r="F1397" s="167" t="s">
        <v>240</v>
      </c>
      <c r="G1397" s="167" t="s">
        <v>2134</v>
      </c>
    </row>
    <row r="1398">
      <c r="A1398" s="167" t="s">
        <v>2680</v>
      </c>
      <c r="B1398" s="167" t="str">
        <f>IFERROR(__xludf.DUMMYFUNCTION("GOOGLEFINANCE(A1398,""Name"")"),"Nextera Energy Inc BDR")</f>
        <v>Nextera Energy Inc BDR</v>
      </c>
      <c r="C1398" s="167" t="s">
        <v>54</v>
      </c>
      <c r="D1398" s="167" t="s">
        <v>2153</v>
      </c>
      <c r="E1398" s="167" t="s">
        <v>54</v>
      </c>
      <c r="F1398" s="167" t="s">
        <v>240</v>
      </c>
      <c r="G1398" s="167" t="s">
        <v>2134</v>
      </c>
    </row>
    <row r="1399">
      <c r="A1399" s="167" t="s">
        <v>2681</v>
      </c>
      <c r="B1399" s="167" t="str">
        <f>IFERROR(__xludf.DUMMYFUNCTION("GOOGLEFINANCE(A1399,""Name"")"),"Nice Bdr")</f>
        <v>Nice Bdr</v>
      </c>
      <c r="C1399" s="167" t="s">
        <v>54</v>
      </c>
      <c r="D1399" s="167" t="s">
        <v>2186</v>
      </c>
      <c r="E1399" s="167" t="s">
        <v>54</v>
      </c>
      <c r="F1399" s="167" t="s">
        <v>2682</v>
      </c>
      <c r="G1399" s="167" t="s">
        <v>2134</v>
      </c>
    </row>
    <row r="1400">
      <c r="A1400" s="167" t="s">
        <v>2683</v>
      </c>
      <c r="B1400" s="167" t="str">
        <f>IFERROR(__xludf.DUMMYFUNCTION("GOOGLEFINANCE(A1400,""Name"")"),"#N/A")</f>
        <v>#N/A</v>
      </c>
      <c r="C1400" s="167" t="s">
        <v>54</v>
      </c>
      <c r="D1400" s="167" t="s">
        <v>2684</v>
      </c>
      <c r="E1400" s="167" t="s">
        <v>54</v>
      </c>
      <c r="F1400" s="167" t="s">
        <v>240</v>
      </c>
      <c r="G1400" s="167" t="s">
        <v>2134</v>
      </c>
    </row>
    <row r="1401">
      <c r="A1401" s="167" t="s">
        <v>2685</v>
      </c>
      <c r="B1401" s="167" t="str">
        <f>IFERROR(__xludf.DUMMYFUNCTION("GOOGLEFINANCE(A1401,""Name"")"),"Nisource Inc Brazilian Depositary Receipt")</f>
        <v>Nisource Inc Brazilian Depositary Receipt</v>
      </c>
      <c r="C1401" s="167" t="s">
        <v>54</v>
      </c>
      <c r="D1401" s="167" t="s">
        <v>2153</v>
      </c>
      <c r="E1401" s="167" t="s">
        <v>54</v>
      </c>
      <c r="F1401" s="167" t="s">
        <v>240</v>
      </c>
      <c r="G1401" s="167" t="s">
        <v>2134</v>
      </c>
    </row>
    <row r="1402">
      <c r="A1402" s="167" t="s">
        <v>2686</v>
      </c>
      <c r="B1402" s="167" t="str">
        <f>IFERROR(__xludf.DUMMYFUNCTION("GOOGLEFINANCE(A1402,""Name"")"),"Nokia Corporation BDR")</f>
        <v>Nokia Corporation BDR</v>
      </c>
      <c r="C1402" s="167" t="s">
        <v>54</v>
      </c>
      <c r="D1402" s="167" t="s">
        <v>2145</v>
      </c>
      <c r="E1402" s="167" t="s">
        <v>54</v>
      </c>
      <c r="F1402" s="167" t="s">
        <v>2687</v>
      </c>
      <c r="G1402" s="167" t="s">
        <v>2134</v>
      </c>
    </row>
    <row r="1403">
      <c r="A1403" s="167" t="s">
        <v>2688</v>
      </c>
      <c r="B1403" s="167" t="str">
        <f>IFERROR(__xludf.DUMMYFUNCTION("GOOGLEFINANCE(A1403,""Name"")"),"Nomura Holdings Inc Bdr")</f>
        <v>Nomura Holdings Inc Bdr</v>
      </c>
      <c r="C1403" s="167" t="s">
        <v>54</v>
      </c>
      <c r="D1403" s="167" t="s">
        <v>2257</v>
      </c>
      <c r="E1403" s="167" t="s">
        <v>54</v>
      </c>
      <c r="F1403" s="167" t="s">
        <v>2297</v>
      </c>
      <c r="G1403" s="167" t="s">
        <v>2134</v>
      </c>
    </row>
    <row r="1404">
      <c r="A1404" s="167" t="s">
        <v>2689</v>
      </c>
      <c r="B1404" s="167" t="str">
        <f>IFERROR(__xludf.DUMMYFUNCTION("GOOGLEFINANCE(A1404,""Name"")"),"#N/A")</f>
        <v>#N/A</v>
      </c>
      <c r="C1404" s="167" t="s">
        <v>54</v>
      </c>
      <c r="D1404" s="167" t="s">
        <v>2500</v>
      </c>
      <c r="E1404" s="167" t="s">
        <v>54</v>
      </c>
      <c r="F1404" s="167" t="s">
        <v>240</v>
      </c>
      <c r="G1404" s="167" t="s">
        <v>2134</v>
      </c>
    </row>
    <row r="1405">
      <c r="A1405" s="167" t="s">
        <v>2690</v>
      </c>
      <c r="B1405" s="167" t="str">
        <f>IFERROR(__xludf.DUMMYFUNCTION("GOOGLEFINANCE(A1405,""Name"")"),"Norfolk Southern Corp Bdr")</f>
        <v>Norfolk Southern Corp Bdr</v>
      </c>
      <c r="C1405" s="167" t="s">
        <v>54</v>
      </c>
      <c r="D1405" s="167" t="s">
        <v>2575</v>
      </c>
      <c r="E1405" s="167" t="s">
        <v>54</v>
      </c>
      <c r="F1405" s="167" t="s">
        <v>240</v>
      </c>
      <c r="G1405" s="167" t="s">
        <v>2134</v>
      </c>
    </row>
    <row r="1406">
      <c r="A1406" s="167" t="s">
        <v>2691</v>
      </c>
      <c r="B1406" s="167" t="str">
        <f>IFERROR(__xludf.DUMMYFUNCTION("GOOGLEFINANCE(A1406,""Name"")"),"Northern Trust Corp Bdr")</f>
        <v>Northern Trust Corp Bdr</v>
      </c>
      <c r="C1406" s="167" t="s">
        <v>54</v>
      </c>
      <c r="D1406" s="167" t="s">
        <v>2194</v>
      </c>
      <c r="E1406" s="167" t="s">
        <v>54</v>
      </c>
      <c r="F1406" s="167" t="s">
        <v>240</v>
      </c>
      <c r="G1406" s="167" t="s">
        <v>2134</v>
      </c>
    </row>
    <row r="1407">
      <c r="A1407" s="167" t="s">
        <v>2692</v>
      </c>
      <c r="B1407" s="167" t="str">
        <f>IFERROR(__xludf.DUMMYFUNCTION("GOOGLEFINANCE(A1407,""Name"")"),"Northrop Grumman Corp BDR")</f>
        <v>Northrop Grumman Corp BDR</v>
      </c>
      <c r="C1407" s="167" t="s">
        <v>54</v>
      </c>
      <c r="D1407" s="167" t="s">
        <v>2138</v>
      </c>
      <c r="E1407" s="167" t="s">
        <v>54</v>
      </c>
      <c r="F1407" s="167" t="s">
        <v>240</v>
      </c>
      <c r="G1407" s="167" t="s">
        <v>2134</v>
      </c>
    </row>
    <row r="1408">
      <c r="A1408" s="167" t="s">
        <v>2693</v>
      </c>
      <c r="B1408" s="167" t="str">
        <f>IFERROR(__xludf.DUMMYFUNCTION("GOOGLEFINANCE(A1408,""Name"")"),"Norwegian Cruise Line Holdings Ltd Brazilian Depositary Receipt")</f>
        <v>Norwegian Cruise Line Holdings Ltd Brazilian Depositary Receipt</v>
      </c>
      <c r="C1408" s="167" t="s">
        <v>54</v>
      </c>
      <c r="D1408" s="167" t="s">
        <v>2304</v>
      </c>
      <c r="E1408" s="167" t="s">
        <v>54</v>
      </c>
      <c r="F1408" s="167" t="s">
        <v>240</v>
      </c>
      <c r="G1408" s="167" t="s">
        <v>2134</v>
      </c>
    </row>
    <row r="1409">
      <c r="A1409" s="167" t="s">
        <v>2694</v>
      </c>
      <c r="B1409" s="167" t="str">
        <f>IFERROR(__xludf.DUMMYFUNCTION("GOOGLEFINANCE(A1409,""Name"")"),"Novartis AG Bdr")</f>
        <v>Novartis AG Bdr</v>
      </c>
      <c r="C1409" s="167" t="s">
        <v>54</v>
      </c>
      <c r="D1409" s="167" t="s">
        <v>2176</v>
      </c>
      <c r="E1409" s="167" t="s">
        <v>54</v>
      </c>
      <c r="F1409" s="167" t="s">
        <v>2139</v>
      </c>
      <c r="G1409" s="167" t="s">
        <v>2134</v>
      </c>
    </row>
    <row r="1410">
      <c r="A1410" s="167" t="s">
        <v>2695</v>
      </c>
      <c r="B1410" s="167" t="str">
        <f>IFERROR(__xludf.DUMMYFUNCTION("GOOGLEFINANCE(A1410,""Name"")"),"Novo Nordisk Bdr")</f>
        <v>Novo Nordisk Bdr</v>
      </c>
      <c r="C1410" s="167" t="s">
        <v>54</v>
      </c>
      <c r="D1410" s="167" t="s">
        <v>2176</v>
      </c>
      <c r="E1410" s="167" t="s">
        <v>54</v>
      </c>
      <c r="F1410" s="167" t="s">
        <v>2229</v>
      </c>
      <c r="G1410" s="167" t="s">
        <v>2134</v>
      </c>
    </row>
    <row r="1411">
      <c r="A1411" s="167" t="s">
        <v>2696</v>
      </c>
      <c r="B1411" s="167" t="str">
        <f>IFERROR(__xludf.DUMMYFUNCTION("GOOGLEFINANCE(A1411,""Name"")"),"Nrg Energy Inc Brazilian Depositary Receipt")</f>
        <v>Nrg Energy Inc Brazilian Depositary Receipt</v>
      </c>
      <c r="C1411" s="167" t="s">
        <v>54</v>
      </c>
      <c r="D1411" s="167" t="s">
        <v>2153</v>
      </c>
      <c r="E1411" s="167" t="s">
        <v>54</v>
      </c>
      <c r="F1411" s="167" t="s">
        <v>240</v>
      </c>
      <c r="G1411" s="167" t="s">
        <v>2134</v>
      </c>
    </row>
    <row r="1412">
      <c r="A1412" s="167" t="s">
        <v>2697</v>
      </c>
      <c r="B1412" s="167" t="str">
        <f>IFERROR(__xludf.DUMMYFUNCTION("GOOGLEFINANCE(A1412,""Name"")"),"Nucor Corp Bdr")</f>
        <v>Nucor Corp Bdr</v>
      </c>
      <c r="C1412" s="167" t="s">
        <v>54</v>
      </c>
      <c r="D1412" s="167" t="s">
        <v>2698</v>
      </c>
      <c r="E1412" s="167" t="s">
        <v>54</v>
      </c>
      <c r="F1412" s="167" t="s">
        <v>240</v>
      </c>
      <c r="G1412" s="167" t="s">
        <v>2134</v>
      </c>
    </row>
    <row r="1413">
      <c r="A1413" s="167" t="s">
        <v>2699</v>
      </c>
      <c r="B1413" s="167" t="str">
        <f>IFERROR(__xludf.DUMMYFUNCTION("GOOGLEFINANCE(A1413,""Name"")"),"Nvidia Corp BDR")</f>
        <v>Nvidia Corp BDR</v>
      </c>
      <c r="C1413" s="167" t="s">
        <v>54</v>
      </c>
      <c r="D1413" s="167" t="s">
        <v>2145</v>
      </c>
      <c r="E1413" s="167" t="s">
        <v>54</v>
      </c>
      <c r="F1413" s="167" t="s">
        <v>240</v>
      </c>
      <c r="G1413" s="167" t="s">
        <v>2134</v>
      </c>
    </row>
    <row r="1414">
      <c r="A1414" s="167" t="s">
        <v>2700</v>
      </c>
      <c r="B1414" s="167" t="str">
        <f>IFERROR(__xludf.DUMMYFUNCTION("GOOGLEFINANCE(A1414,""Name"")"),"Nvr Inc Bdr")</f>
        <v>Nvr Inc Bdr</v>
      </c>
      <c r="C1414" s="167" t="s">
        <v>54</v>
      </c>
      <c r="D1414" s="167" t="s">
        <v>2371</v>
      </c>
      <c r="E1414" s="167" t="s">
        <v>54</v>
      </c>
      <c r="F1414" s="167" t="s">
        <v>240</v>
      </c>
      <c r="G1414" s="167" t="s">
        <v>2134</v>
      </c>
    </row>
    <row r="1415">
      <c r="A1415" s="167" t="s">
        <v>2701</v>
      </c>
      <c r="B1415" s="167" t="str">
        <f>IFERROR(__xludf.DUMMYFUNCTION("GOOGLEFINANCE(A1415,""Name"")"),"Nxp Semiconductors Nv Brazilian Depositary Receipt")</f>
        <v>Nxp Semiconductors Nv Brazilian Depositary Receipt</v>
      </c>
      <c r="C1415" s="167" t="s">
        <v>54</v>
      </c>
      <c r="D1415" s="167" t="s">
        <v>2216</v>
      </c>
      <c r="E1415" s="167" t="s">
        <v>54</v>
      </c>
      <c r="F1415" s="167" t="s">
        <v>240</v>
      </c>
      <c r="G1415" s="167" t="s">
        <v>2134</v>
      </c>
    </row>
    <row r="1416">
      <c r="A1416" s="167" t="s">
        <v>2702</v>
      </c>
      <c r="B1416" s="167" t="str">
        <f>IFERROR(__xludf.DUMMYFUNCTION("GOOGLEFINANCE(A1416,""Name"")"),"Occidental Petroleum Corp BDR")</f>
        <v>Occidental Petroleum Corp BDR</v>
      </c>
      <c r="C1416" s="167" t="s">
        <v>54</v>
      </c>
      <c r="D1416" s="167" t="s">
        <v>2153</v>
      </c>
      <c r="E1416" s="167" t="s">
        <v>54</v>
      </c>
      <c r="F1416" s="167" t="s">
        <v>240</v>
      </c>
      <c r="G1416" s="167" t="s">
        <v>2134</v>
      </c>
    </row>
    <row r="1417">
      <c r="A1417" s="167" t="s">
        <v>2703</v>
      </c>
      <c r="B1417" s="167" t="str">
        <f>IFERROR(__xludf.DUMMYFUNCTION("GOOGLEFINANCE(A1417,""Name"")"),"Okta Bdr")</f>
        <v>Okta Bdr</v>
      </c>
      <c r="C1417" s="167" t="s">
        <v>54</v>
      </c>
      <c r="D1417" s="167" t="s">
        <v>2186</v>
      </c>
      <c r="E1417" s="167" t="s">
        <v>54</v>
      </c>
      <c r="F1417" s="167" t="s">
        <v>240</v>
      </c>
      <c r="G1417" s="167" t="s">
        <v>2134</v>
      </c>
    </row>
    <row r="1418">
      <c r="A1418" s="167" t="s">
        <v>2704</v>
      </c>
      <c r="B1418" s="167" t="str">
        <f>IFERROR(__xludf.DUMMYFUNCTION("GOOGLEFINANCE(A1418,""Name"")"),"Old Dominion Freight Line Bdr")</f>
        <v>Old Dominion Freight Line Bdr</v>
      </c>
      <c r="C1418" s="167" t="s">
        <v>54</v>
      </c>
      <c r="D1418" s="167" t="s">
        <v>2705</v>
      </c>
      <c r="E1418" s="167" t="s">
        <v>54</v>
      </c>
      <c r="F1418" s="167" t="s">
        <v>240</v>
      </c>
      <c r="G1418" s="167" t="s">
        <v>2134</v>
      </c>
    </row>
    <row r="1419">
      <c r="A1419" s="167" t="s">
        <v>2706</v>
      </c>
      <c r="B1419" s="167" t="str">
        <f>IFERROR(__xludf.DUMMYFUNCTION("GOOGLEFINANCE(A1419,""Name"")"),"Omnicom Group Inc Bdr")</f>
        <v>Omnicom Group Inc Bdr</v>
      </c>
      <c r="C1419" s="167" t="s">
        <v>54</v>
      </c>
      <c r="D1419" s="167" t="s">
        <v>2186</v>
      </c>
      <c r="E1419" s="167" t="s">
        <v>54</v>
      </c>
      <c r="F1419" s="167" t="s">
        <v>240</v>
      </c>
      <c r="G1419" s="167" t="s">
        <v>2134</v>
      </c>
    </row>
    <row r="1420">
      <c r="A1420" s="167" t="s">
        <v>2707</v>
      </c>
      <c r="B1420" s="167" t="str">
        <f>IFERROR(__xludf.DUMMYFUNCTION("GOOGLEFINANCE(A1420,""Name"")"),"Oneok Inc Bdr")</f>
        <v>Oneok Inc Bdr</v>
      </c>
      <c r="C1420" s="167" t="s">
        <v>54</v>
      </c>
      <c r="D1420" s="167" t="s">
        <v>129</v>
      </c>
      <c r="E1420" s="167" t="s">
        <v>54</v>
      </c>
      <c r="F1420" s="167" t="s">
        <v>240</v>
      </c>
      <c r="G1420" s="167" t="s">
        <v>2134</v>
      </c>
    </row>
    <row r="1421">
      <c r="A1421" s="167" t="s">
        <v>2708</v>
      </c>
      <c r="B1421" s="167" t="str">
        <f>IFERROR(__xludf.DUMMYFUNCTION("GOOGLEFINANCE(A1421,""Name"")"),"Oreilly Automotive Inc BDR")</f>
        <v>Oreilly Automotive Inc BDR</v>
      </c>
      <c r="C1421" s="167" t="s">
        <v>54</v>
      </c>
      <c r="D1421" s="167" t="s">
        <v>2244</v>
      </c>
      <c r="E1421" s="167" t="s">
        <v>54</v>
      </c>
      <c r="F1421" s="167" t="s">
        <v>240</v>
      </c>
      <c r="G1421" s="167" t="s">
        <v>2134</v>
      </c>
    </row>
    <row r="1422">
      <c r="A1422" s="167" t="s">
        <v>2709</v>
      </c>
      <c r="B1422" s="167" t="str">
        <f>IFERROR(__xludf.DUMMYFUNCTION("GOOGLEFINANCE(A1422,""Name"")"),"Orix Corp Bdr")</f>
        <v>Orix Corp Bdr</v>
      </c>
      <c r="C1422" s="167" t="s">
        <v>54</v>
      </c>
      <c r="D1422" s="167" t="s">
        <v>875</v>
      </c>
      <c r="E1422" s="167" t="s">
        <v>54</v>
      </c>
      <c r="F1422" s="167" t="s">
        <v>2651</v>
      </c>
      <c r="G1422" s="167" t="s">
        <v>2134</v>
      </c>
    </row>
    <row r="1423">
      <c r="A1423" s="167" t="s">
        <v>2710</v>
      </c>
      <c r="B1423" s="167" t="str">
        <f>IFERROR(__xludf.DUMMYFUNCTION("GOOGLEFINANCE(A1423,""Name"")"),"Otis Worldwide Corporation Bdr")</f>
        <v>Otis Worldwide Corporation Bdr</v>
      </c>
      <c r="C1423" s="167" t="s">
        <v>54</v>
      </c>
      <c r="D1423" s="167" t="s">
        <v>2535</v>
      </c>
      <c r="E1423" s="167" t="s">
        <v>54</v>
      </c>
      <c r="F1423" s="167" t="s">
        <v>240</v>
      </c>
      <c r="G1423" s="167" t="s">
        <v>2134</v>
      </c>
    </row>
    <row r="1424">
      <c r="A1424" s="167" t="s">
        <v>2711</v>
      </c>
      <c r="B1424" s="167" t="str">
        <f>IFERROR(__xludf.DUMMYFUNCTION("GOOGLEFINANCE(A1424,""Name"")"),"Paccar Inc Bdr")</f>
        <v>Paccar Inc Bdr</v>
      </c>
      <c r="C1424" s="167" t="s">
        <v>54</v>
      </c>
      <c r="D1424" s="167" t="s">
        <v>2148</v>
      </c>
      <c r="E1424" s="167" t="s">
        <v>54</v>
      </c>
      <c r="F1424" s="167" t="s">
        <v>240</v>
      </c>
      <c r="G1424" s="167" t="s">
        <v>2134</v>
      </c>
    </row>
    <row r="1425">
      <c r="A1425" s="167" t="s">
        <v>2712</v>
      </c>
      <c r="B1425" s="167" t="str">
        <f>IFERROR(__xludf.DUMMYFUNCTION("GOOGLEFINANCE(A1425,""Name"")"),"Packaging Corp Of America Bdr")</f>
        <v>Packaging Corp Of America Bdr</v>
      </c>
      <c r="C1425" s="167" t="s">
        <v>54</v>
      </c>
      <c r="D1425" s="167" t="s">
        <v>268</v>
      </c>
      <c r="E1425" s="167" t="s">
        <v>54</v>
      </c>
      <c r="F1425" s="167" t="s">
        <v>240</v>
      </c>
      <c r="G1425" s="167" t="s">
        <v>2134</v>
      </c>
    </row>
    <row r="1426">
      <c r="A1426" s="167" t="s">
        <v>2713</v>
      </c>
      <c r="B1426" s="167" t="str">
        <f>IFERROR(__xludf.DUMMYFUNCTION("GOOGLEFINANCE(A1426,""Name"")"),"Parker-Hannifin Corp Bdr")</f>
        <v>Parker-Hannifin Corp Bdr</v>
      </c>
      <c r="C1426" s="167" t="s">
        <v>54</v>
      </c>
      <c r="D1426" s="167" t="s">
        <v>2714</v>
      </c>
      <c r="E1426" s="167" t="s">
        <v>54</v>
      </c>
      <c r="F1426" s="167" t="s">
        <v>240</v>
      </c>
      <c r="G1426" s="167" t="s">
        <v>2134</v>
      </c>
    </row>
    <row r="1427">
      <c r="A1427" s="167" t="s">
        <v>2715</v>
      </c>
      <c r="B1427" s="167" t="str">
        <f>IFERROR(__xludf.DUMMYFUNCTION("GOOGLEFINANCE(A1427,""Name"")"),"Paychex Inc Bdr")</f>
        <v>Paychex Inc Bdr</v>
      </c>
      <c r="C1427" s="167" t="s">
        <v>54</v>
      </c>
      <c r="D1427" s="167" t="s">
        <v>1051</v>
      </c>
      <c r="E1427" s="167" t="s">
        <v>54</v>
      </c>
      <c r="F1427" s="167" t="s">
        <v>240</v>
      </c>
      <c r="G1427" s="167" t="s">
        <v>2134</v>
      </c>
    </row>
    <row r="1428">
      <c r="A1428" s="167" t="s">
        <v>2716</v>
      </c>
      <c r="B1428" s="167" t="str">
        <f>IFERROR(__xludf.DUMMYFUNCTION("GOOGLEFINANCE(A1428,""Name"")"),"Paycom Software Bdr")</f>
        <v>Paycom Software Bdr</v>
      </c>
      <c r="C1428" s="167" t="s">
        <v>54</v>
      </c>
      <c r="D1428" s="167" t="s">
        <v>2145</v>
      </c>
      <c r="E1428" s="167" t="s">
        <v>54</v>
      </c>
      <c r="F1428" s="167" t="s">
        <v>240</v>
      </c>
      <c r="G1428" s="167" t="s">
        <v>2134</v>
      </c>
    </row>
    <row r="1429">
      <c r="A1429" s="167" t="s">
        <v>2717</v>
      </c>
      <c r="B1429" s="167" t="str">
        <f>IFERROR(__xludf.DUMMYFUNCTION("GOOGLEFINANCE(A1429,""Name"")"),"Paypal Holdings Inc BDR")</f>
        <v>Paypal Holdings Inc BDR</v>
      </c>
      <c r="C1429" s="167" t="s">
        <v>54</v>
      </c>
      <c r="D1429" s="167" t="s">
        <v>2194</v>
      </c>
      <c r="E1429" s="167" t="s">
        <v>54</v>
      </c>
      <c r="F1429" s="167" t="s">
        <v>240</v>
      </c>
      <c r="G1429" s="167" t="s">
        <v>2134</v>
      </c>
    </row>
    <row r="1430">
      <c r="A1430" s="167" t="s">
        <v>2718</v>
      </c>
      <c r="B1430" s="167" t="str">
        <f>IFERROR(__xludf.DUMMYFUNCTION("GOOGLEFINANCE(A1430,""Name"")"),"Pentair Plc Bdr")</f>
        <v>Pentair Plc Bdr</v>
      </c>
      <c r="C1430" s="167" t="s">
        <v>54</v>
      </c>
      <c r="D1430" s="167" t="s">
        <v>2192</v>
      </c>
      <c r="E1430" s="167" t="s">
        <v>54</v>
      </c>
      <c r="F1430" s="167" t="s">
        <v>240</v>
      </c>
      <c r="G1430" s="167" t="s">
        <v>2134</v>
      </c>
    </row>
    <row r="1431">
      <c r="A1431" s="167" t="s">
        <v>2719</v>
      </c>
      <c r="B1431" s="167" t="str">
        <f>IFERROR(__xludf.DUMMYFUNCTION("GOOGLEFINANCE(A1431,""Name"")"),"#N/A")</f>
        <v>#N/A</v>
      </c>
      <c r="C1431" s="167" t="s">
        <v>54</v>
      </c>
      <c r="D1431" s="167" t="s">
        <v>2194</v>
      </c>
      <c r="E1431" s="167" t="s">
        <v>54</v>
      </c>
      <c r="F1431" s="167" t="s">
        <v>240</v>
      </c>
      <c r="G1431" s="167" t="s">
        <v>2134</v>
      </c>
    </row>
    <row r="1432">
      <c r="A1432" s="167" t="s">
        <v>2720</v>
      </c>
      <c r="B1432" s="167" t="str">
        <f>IFERROR(__xludf.DUMMYFUNCTION("GOOGLEFINANCE(A1432,""Name"")"),"#N/A")</f>
        <v>#N/A</v>
      </c>
      <c r="C1432" s="167" t="s">
        <v>54</v>
      </c>
      <c r="D1432" s="167" t="s">
        <v>2200</v>
      </c>
      <c r="E1432" s="167" t="s">
        <v>54</v>
      </c>
      <c r="F1432" s="167" t="s">
        <v>240</v>
      </c>
      <c r="G1432" s="167" t="s">
        <v>2134</v>
      </c>
    </row>
    <row r="1433">
      <c r="A1433" s="167" t="s">
        <v>2721</v>
      </c>
      <c r="B1433" s="167" t="str">
        <f>IFERROR(__xludf.DUMMYFUNCTION("GOOGLEFINANCE(A1433,""Name"")"),"Perrigo Co Plc Bdr")</f>
        <v>Perrigo Co Plc Bdr</v>
      </c>
      <c r="C1433" s="167" t="s">
        <v>54</v>
      </c>
      <c r="D1433" s="167" t="s">
        <v>2141</v>
      </c>
      <c r="E1433" s="167" t="s">
        <v>54</v>
      </c>
      <c r="F1433" s="167" t="s">
        <v>240</v>
      </c>
      <c r="G1433" s="167" t="s">
        <v>2134</v>
      </c>
    </row>
    <row r="1434">
      <c r="A1434" s="167" t="s">
        <v>2722</v>
      </c>
      <c r="B1434" s="167" t="str">
        <f>IFERROR(__xludf.DUMMYFUNCTION("GOOGLEFINANCE(A1434,""Name"")"),"#N/A")</f>
        <v>#N/A</v>
      </c>
      <c r="C1434" s="167" t="s">
        <v>54</v>
      </c>
      <c r="D1434" s="167" t="s">
        <v>129</v>
      </c>
      <c r="E1434" s="167" t="s">
        <v>54</v>
      </c>
      <c r="F1434" s="167" t="s">
        <v>2167</v>
      </c>
      <c r="G1434" s="167" t="s">
        <v>2134</v>
      </c>
    </row>
    <row r="1435">
      <c r="A1435" s="167" t="s">
        <v>2723</v>
      </c>
      <c r="B1435" s="167" t="str">
        <f>IFERROR(__xludf.DUMMYFUNCTION("GOOGLEFINANCE(A1435,""Name"")"),"Pfizer BDR")</f>
        <v>Pfizer BDR</v>
      </c>
      <c r="C1435" s="167" t="s">
        <v>54</v>
      </c>
      <c r="D1435" s="167" t="s">
        <v>2141</v>
      </c>
      <c r="E1435" s="167" t="s">
        <v>54</v>
      </c>
      <c r="F1435" s="167" t="s">
        <v>240</v>
      </c>
      <c r="G1435" s="167" t="s">
        <v>2134</v>
      </c>
    </row>
    <row r="1436">
      <c r="A1436" s="167" t="s">
        <v>2724</v>
      </c>
      <c r="B1436" s="167" t="str">
        <f>IFERROR(__xludf.DUMMYFUNCTION("GOOGLEFINANCE(A1436,""Name"")"),"Procter &amp; Gamble BDR")</f>
        <v>Procter &amp; Gamble BDR</v>
      </c>
      <c r="C1436" s="167" t="s">
        <v>54</v>
      </c>
      <c r="D1436" s="167" t="s">
        <v>2725</v>
      </c>
      <c r="E1436" s="167" t="s">
        <v>54</v>
      </c>
      <c r="F1436" s="167" t="s">
        <v>240</v>
      </c>
      <c r="G1436" s="167" t="s">
        <v>2134</v>
      </c>
    </row>
    <row r="1437">
      <c r="A1437" s="167" t="s">
        <v>2726</v>
      </c>
      <c r="B1437" s="167" t="str">
        <f>IFERROR(__xludf.DUMMYFUNCTION("GOOGLEFINANCE(A1437,""Name"")"),"Philip Morris International BDR")</f>
        <v>Philip Morris International BDR</v>
      </c>
      <c r="C1437" s="167" t="s">
        <v>54</v>
      </c>
      <c r="D1437" s="167" t="s">
        <v>2181</v>
      </c>
      <c r="E1437" s="167" t="s">
        <v>54</v>
      </c>
      <c r="F1437" s="167" t="s">
        <v>240</v>
      </c>
      <c r="G1437" s="167" t="s">
        <v>2134</v>
      </c>
    </row>
    <row r="1438">
      <c r="A1438" s="167" t="s">
        <v>2727</v>
      </c>
      <c r="B1438" s="167" t="str">
        <f>IFERROR(__xludf.DUMMYFUNCTION("GOOGLEFINANCE(A1438,""Name"")"),"Phillips 66 Brazilian Depositary Receipt")</f>
        <v>Phillips 66 Brazilian Depositary Receipt</v>
      </c>
      <c r="C1438" s="167" t="s">
        <v>54</v>
      </c>
      <c r="D1438" s="167" t="s">
        <v>2153</v>
      </c>
      <c r="E1438" s="167" t="s">
        <v>54</v>
      </c>
      <c r="F1438" s="167" t="s">
        <v>240</v>
      </c>
      <c r="G1438" s="167" t="s">
        <v>2134</v>
      </c>
    </row>
    <row r="1439">
      <c r="A1439" s="167" t="s">
        <v>2728</v>
      </c>
      <c r="B1439" s="167" t="str">
        <f>IFERROR(__xludf.DUMMYFUNCTION("GOOGLEFINANCE(A1439,""Name"")"),"Pdd Holding Inc Bdr")</f>
        <v>Pdd Holding Inc Bdr</v>
      </c>
      <c r="C1439" s="167" t="s">
        <v>54</v>
      </c>
      <c r="D1439" s="167" t="s">
        <v>2186</v>
      </c>
      <c r="E1439" s="167" t="s">
        <v>54</v>
      </c>
      <c r="F1439" s="167" t="s">
        <v>2167</v>
      </c>
      <c r="G1439" s="167" t="s">
        <v>2134</v>
      </c>
    </row>
    <row r="1440">
      <c r="A1440" s="167" t="s">
        <v>2729</v>
      </c>
      <c r="B1440" s="167" t="str">
        <f>IFERROR(__xludf.DUMMYFUNCTION("GOOGLEFINANCE(A1440,""Name"")"),"Pinnacle West Capital Corp Bdr")</f>
        <v>Pinnacle West Capital Corp Bdr</v>
      </c>
      <c r="C1440" s="167" t="s">
        <v>54</v>
      </c>
      <c r="D1440" s="167" t="s">
        <v>2609</v>
      </c>
      <c r="E1440" s="167" t="s">
        <v>54</v>
      </c>
      <c r="F1440" s="167" t="s">
        <v>240</v>
      </c>
      <c r="G1440" s="167" t="s">
        <v>2134</v>
      </c>
    </row>
    <row r="1441">
      <c r="A1441" s="167" t="s">
        <v>2730</v>
      </c>
      <c r="B1441" s="167" t="str">
        <f>IFERROR(__xludf.DUMMYFUNCTION("GOOGLEFINANCE(A1441,""Name"")"),"#N/A")</f>
        <v>#N/A</v>
      </c>
      <c r="C1441" s="167" t="s">
        <v>54</v>
      </c>
      <c r="D1441" s="167" t="s">
        <v>2394</v>
      </c>
      <c r="E1441" s="167" t="s">
        <v>54</v>
      </c>
      <c r="F1441" s="167" t="s">
        <v>240</v>
      </c>
      <c r="G1441" s="167" t="s">
        <v>2134</v>
      </c>
    </row>
    <row r="1442">
      <c r="A1442" s="167" t="s">
        <v>2731</v>
      </c>
      <c r="B1442" s="167" t="str">
        <f>IFERROR(__xludf.DUMMYFUNCTION("GOOGLEFINANCE(A1442,""Name"")"),"Pnc Financial Services Group Inc BDR")</f>
        <v>Pnc Financial Services Group Inc BDR</v>
      </c>
      <c r="C1442" s="167" t="s">
        <v>54</v>
      </c>
      <c r="D1442" s="167" t="s">
        <v>2194</v>
      </c>
      <c r="E1442" s="167" t="s">
        <v>54</v>
      </c>
      <c r="F1442" s="167" t="s">
        <v>240</v>
      </c>
      <c r="G1442" s="167" t="s">
        <v>2134</v>
      </c>
    </row>
    <row r="1443">
      <c r="A1443" s="167" t="s">
        <v>2732</v>
      </c>
      <c r="B1443" s="167" t="str">
        <f>IFERROR(__xludf.DUMMYFUNCTION("GOOGLEFINANCE(A1443,""Name"")"),"Posco Bdr")</f>
        <v>Posco Bdr</v>
      </c>
      <c r="C1443" s="167" t="s">
        <v>54</v>
      </c>
      <c r="D1443" s="167" t="s">
        <v>159</v>
      </c>
      <c r="E1443" s="167" t="s">
        <v>54</v>
      </c>
      <c r="F1443" s="167" t="s">
        <v>2577</v>
      </c>
      <c r="G1443" s="167" t="s">
        <v>2134</v>
      </c>
    </row>
    <row r="1444">
      <c r="A1444" s="167" t="s">
        <v>2733</v>
      </c>
      <c r="B1444" s="167" t="str">
        <f>IFERROR(__xludf.DUMMYFUNCTION("GOOGLEFINANCE(A1444,""Name"")"),"Ppg Industries Inc Bdr")</f>
        <v>Ppg Industries Inc Bdr</v>
      </c>
      <c r="C1444" s="167" t="s">
        <v>54</v>
      </c>
      <c r="D1444" s="167" t="s">
        <v>205</v>
      </c>
      <c r="E1444" s="167" t="s">
        <v>54</v>
      </c>
      <c r="F1444" s="167" t="s">
        <v>240</v>
      </c>
      <c r="G1444" s="167" t="s">
        <v>2134</v>
      </c>
    </row>
    <row r="1445">
      <c r="A1445" s="167" t="s">
        <v>2734</v>
      </c>
      <c r="B1445" s="167" t="str">
        <f>IFERROR(__xludf.DUMMYFUNCTION("GOOGLEFINANCE(A1445,""Name"")"),"Ppl Corp Brazilian Depositary Receipt")</f>
        <v>Ppl Corp Brazilian Depositary Receipt</v>
      </c>
      <c r="C1445" s="167" t="s">
        <v>54</v>
      </c>
      <c r="D1445" s="167" t="s">
        <v>2153</v>
      </c>
      <c r="E1445" s="167" t="s">
        <v>54</v>
      </c>
      <c r="F1445" s="167" t="s">
        <v>240</v>
      </c>
      <c r="G1445" s="167" t="s">
        <v>2134</v>
      </c>
    </row>
    <row r="1446">
      <c r="A1446" s="167" t="s">
        <v>2735</v>
      </c>
      <c r="B1446" s="167" t="str">
        <f>IFERROR(__xludf.DUMMYFUNCTION("GOOGLEFINANCE(A1446,""Name"")"),"Principal Financial Group Inc Bdr")</f>
        <v>Principal Financial Group Inc Bdr</v>
      </c>
      <c r="C1446" s="167" t="s">
        <v>54</v>
      </c>
      <c r="D1446" s="167" t="s">
        <v>946</v>
      </c>
      <c r="E1446" s="167" t="s">
        <v>54</v>
      </c>
      <c r="F1446" s="167" t="s">
        <v>240</v>
      </c>
      <c r="G1446" s="167" t="s">
        <v>2134</v>
      </c>
    </row>
    <row r="1447">
      <c r="A1447" s="167" t="s">
        <v>2736</v>
      </c>
      <c r="B1447" s="167" t="str">
        <f>IFERROR(__xludf.DUMMYFUNCTION("GOOGLEFINANCE(A1447,""Name"")"),"Prologis Inc Bdr")</f>
        <v>Prologis Inc Bdr</v>
      </c>
      <c r="C1447" s="167" t="s">
        <v>54</v>
      </c>
      <c r="D1447" s="167" t="s">
        <v>2163</v>
      </c>
      <c r="E1447" s="167" t="s">
        <v>54</v>
      </c>
      <c r="F1447" s="167" t="s">
        <v>240</v>
      </c>
      <c r="G1447" s="167" t="s">
        <v>2134</v>
      </c>
    </row>
    <row r="1448">
      <c r="A1448" s="167" t="s">
        <v>2737</v>
      </c>
      <c r="B1448" s="167" t="str">
        <f>IFERROR(__xludf.DUMMYFUNCTION("GOOGLEFINANCE(A1448,""Name"")"),"Prudential Financial Inc Bdr")</f>
        <v>Prudential Financial Inc Bdr</v>
      </c>
      <c r="C1448" s="167" t="s">
        <v>54</v>
      </c>
      <c r="D1448" s="167" t="s">
        <v>2155</v>
      </c>
      <c r="E1448" s="167" t="s">
        <v>54</v>
      </c>
      <c r="F1448" s="167" t="s">
        <v>240</v>
      </c>
      <c r="G1448" s="167" t="s">
        <v>2134</v>
      </c>
    </row>
    <row r="1449">
      <c r="A1449" s="167" t="s">
        <v>2738</v>
      </c>
      <c r="B1449" s="167" t="str">
        <f>IFERROR(__xludf.DUMMYFUNCTION("GOOGLEFINANCE(A1449,""Name"")"),"Prudential Plc Bdr")</f>
        <v>Prudential Plc Bdr</v>
      </c>
      <c r="C1449" s="167" t="s">
        <v>54</v>
      </c>
      <c r="D1449" s="167" t="s">
        <v>875</v>
      </c>
      <c r="E1449" s="167" t="s">
        <v>54</v>
      </c>
      <c r="F1449" s="167" t="s">
        <v>2183</v>
      </c>
      <c r="G1449" s="167" t="s">
        <v>2134</v>
      </c>
    </row>
    <row r="1450">
      <c r="A1450" s="167" t="s">
        <v>2739</v>
      </c>
      <c r="B1450" s="167" t="str">
        <f>IFERROR(__xludf.DUMMYFUNCTION("GOOGLEFINANCE(A1450,""Name"")"),"Pt Telekomunikasi Indonesia Per Tbk Bdr")</f>
        <v>Pt Telekomunikasi Indonesia Per Tbk Bdr</v>
      </c>
      <c r="C1450" s="167" t="s">
        <v>54</v>
      </c>
      <c r="D1450" s="167" t="s">
        <v>2186</v>
      </c>
      <c r="E1450" s="167" t="s">
        <v>54</v>
      </c>
      <c r="F1450" s="167" t="s">
        <v>2740</v>
      </c>
      <c r="G1450" s="167" t="s">
        <v>2134</v>
      </c>
    </row>
    <row r="1451">
      <c r="A1451" s="167" t="s">
        <v>2741</v>
      </c>
      <c r="B1451" s="167" t="str">
        <f>IFERROR(__xludf.DUMMYFUNCTION("GOOGLEFINANCE(A1451,""Name"")"),"Public Service Enterprise Group Inc Bdr")</f>
        <v>Public Service Enterprise Group Inc Bdr</v>
      </c>
      <c r="C1451" s="167" t="s">
        <v>54</v>
      </c>
      <c r="D1451" s="167" t="s">
        <v>2153</v>
      </c>
      <c r="E1451" s="167" t="s">
        <v>54</v>
      </c>
      <c r="F1451" s="167" t="s">
        <v>240</v>
      </c>
      <c r="G1451" s="167" t="s">
        <v>2134</v>
      </c>
    </row>
    <row r="1452">
      <c r="A1452" s="167" t="s">
        <v>2742</v>
      </c>
      <c r="B1452" s="167" t="str">
        <f>IFERROR(__xludf.DUMMYFUNCTION("GOOGLEFINANCE(A1452,""Name"")"),"Public Storage Bdr")</f>
        <v>Public Storage Bdr</v>
      </c>
      <c r="C1452" s="167" t="s">
        <v>54</v>
      </c>
      <c r="D1452" s="167" t="s">
        <v>2163</v>
      </c>
      <c r="E1452" s="167" t="s">
        <v>54</v>
      </c>
      <c r="F1452" s="167" t="s">
        <v>240</v>
      </c>
      <c r="G1452" s="167" t="s">
        <v>2134</v>
      </c>
    </row>
    <row r="1453">
      <c r="A1453" s="167" t="s">
        <v>2743</v>
      </c>
      <c r="B1453" s="167" t="str">
        <f>IFERROR(__xludf.DUMMYFUNCTION("GOOGLEFINANCE(A1453,""Name"")"),"Pultegroup Inc Brazilian Depositary Receipt")</f>
        <v>Pultegroup Inc Brazilian Depositary Receipt</v>
      </c>
      <c r="C1453" s="167" t="s">
        <v>54</v>
      </c>
      <c r="D1453" s="167" t="s">
        <v>2371</v>
      </c>
      <c r="E1453" s="167" t="s">
        <v>54</v>
      </c>
      <c r="F1453" s="167" t="s">
        <v>240</v>
      </c>
      <c r="G1453" s="167" t="s">
        <v>2134</v>
      </c>
    </row>
    <row r="1454">
      <c r="A1454" s="167" t="s">
        <v>2744</v>
      </c>
      <c r="B1454" s="167" t="str">
        <f>IFERROR(__xludf.DUMMYFUNCTION("GOOGLEFINANCE(A1454,""Name"")"),"Pvh Corp Bdr")</f>
        <v>Pvh Corp Bdr</v>
      </c>
      <c r="C1454" s="167" t="s">
        <v>54</v>
      </c>
      <c r="D1454" s="167" t="s">
        <v>2745</v>
      </c>
      <c r="E1454" s="167" t="s">
        <v>54</v>
      </c>
      <c r="F1454" s="167" t="s">
        <v>240</v>
      </c>
      <c r="G1454" s="167" t="s">
        <v>2134</v>
      </c>
    </row>
    <row r="1455">
      <c r="A1455" s="167" t="s">
        <v>2746</v>
      </c>
      <c r="B1455" s="167" t="str">
        <f>IFERROR(__xludf.DUMMYFUNCTION("GOOGLEFINANCE(A1455,""Name"")"),"Qorvo Inc Bdr")</f>
        <v>Qorvo Inc Bdr</v>
      </c>
      <c r="C1455" s="167" t="s">
        <v>54</v>
      </c>
      <c r="D1455" s="167" t="s">
        <v>2216</v>
      </c>
      <c r="E1455" s="167" t="s">
        <v>54</v>
      </c>
      <c r="F1455" s="167" t="s">
        <v>240</v>
      </c>
      <c r="G1455" s="167" t="s">
        <v>2134</v>
      </c>
    </row>
    <row r="1456">
      <c r="A1456" s="167" t="s">
        <v>2747</v>
      </c>
      <c r="B1456" s="167" t="str">
        <f>IFERROR(__xludf.DUMMYFUNCTION("GOOGLEFINANCE(A1456,""Name"")"),"Qualcomm Inc. BDR")</f>
        <v>Qualcomm Inc. BDR</v>
      </c>
      <c r="C1456" s="167" t="s">
        <v>54</v>
      </c>
      <c r="D1456" s="167" t="s">
        <v>2748</v>
      </c>
      <c r="E1456" s="167" t="s">
        <v>54</v>
      </c>
      <c r="F1456" s="167" t="s">
        <v>240</v>
      </c>
      <c r="G1456" s="167" t="s">
        <v>2134</v>
      </c>
    </row>
    <row r="1457">
      <c r="A1457" s="167" t="s">
        <v>2749</v>
      </c>
      <c r="B1457" s="167" t="str">
        <f>IFERROR(__xludf.DUMMYFUNCTION("GOOGLEFINANCE(A1457,""Name"")"),"Quanta Services Inc Bdr")</f>
        <v>Quanta Services Inc Bdr</v>
      </c>
      <c r="C1457" s="167" t="s">
        <v>54</v>
      </c>
      <c r="D1457" s="167" t="s">
        <v>1051</v>
      </c>
      <c r="E1457" s="167" t="s">
        <v>54</v>
      </c>
      <c r="F1457" s="167" t="s">
        <v>240</v>
      </c>
      <c r="G1457" s="167" t="s">
        <v>2134</v>
      </c>
    </row>
    <row r="1458">
      <c r="A1458" s="167" t="s">
        <v>2750</v>
      </c>
      <c r="B1458" s="167" t="str">
        <f>IFERROR(__xludf.DUMMYFUNCTION("GOOGLEFINANCE(A1458,""Name"")"),"Quest Diagnostics Inc Bdr")</f>
        <v>Quest Diagnostics Inc Bdr</v>
      </c>
      <c r="C1458" s="167" t="s">
        <v>54</v>
      </c>
      <c r="D1458" s="167" t="s">
        <v>2595</v>
      </c>
      <c r="E1458" s="167" t="s">
        <v>54</v>
      </c>
      <c r="F1458" s="167" t="s">
        <v>240</v>
      </c>
      <c r="G1458" s="167" t="s">
        <v>2134</v>
      </c>
    </row>
    <row r="1459">
      <c r="A1459" s="167" t="s">
        <v>2751</v>
      </c>
      <c r="B1459" s="167" t="str">
        <f>IFERROR(__xludf.DUMMYFUNCTION("GOOGLEFINANCE(A1459,""Name"")"),"Ralph Lauren Corp Bdr")</f>
        <v>Ralph Lauren Corp Bdr</v>
      </c>
      <c r="C1459" s="167" t="s">
        <v>54</v>
      </c>
      <c r="D1459" s="167" t="s">
        <v>2752</v>
      </c>
      <c r="E1459" s="167" t="s">
        <v>54</v>
      </c>
      <c r="F1459" s="167" t="s">
        <v>240</v>
      </c>
      <c r="G1459" s="167" t="s">
        <v>2134</v>
      </c>
    </row>
    <row r="1460">
      <c r="A1460" s="167" t="s">
        <v>2753</v>
      </c>
      <c r="B1460" s="167" t="str">
        <f>IFERROR(__xludf.DUMMYFUNCTION("GOOGLEFINANCE(A1460,""Name"")"),"Raymond James Financial Inc Bdr")</f>
        <v>Raymond James Financial Inc Bdr</v>
      </c>
      <c r="C1460" s="167" t="s">
        <v>54</v>
      </c>
      <c r="D1460" s="167" t="s">
        <v>2194</v>
      </c>
      <c r="E1460" s="167" t="s">
        <v>54</v>
      </c>
      <c r="F1460" s="167" t="s">
        <v>240</v>
      </c>
      <c r="G1460" s="167" t="s">
        <v>2134</v>
      </c>
    </row>
    <row r="1461">
      <c r="A1461" s="167" t="s">
        <v>2754</v>
      </c>
      <c r="B1461" s="167" t="str">
        <f>IFERROR(__xludf.DUMMYFUNCTION("GOOGLEFINANCE(A1461,""Name"")"),"#N/A")</f>
        <v>#N/A</v>
      </c>
      <c r="C1461" s="167" t="s">
        <v>54</v>
      </c>
      <c r="D1461" s="167" t="s">
        <v>129</v>
      </c>
      <c r="E1461" s="167" t="s">
        <v>54</v>
      </c>
      <c r="F1461" s="167" t="s">
        <v>2232</v>
      </c>
      <c r="G1461" s="167" t="s">
        <v>2134</v>
      </c>
    </row>
    <row r="1462">
      <c r="A1462" s="167" t="s">
        <v>2755</v>
      </c>
      <c r="B1462" s="167" t="str">
        <f>IFERROR(__xludf.DUMMYFUNCTION("GOOGLEFINANCE(A1462,""Name"")"),"Realty Income Corp Bdr")</f>
        <v>Realty Income Corp Bdr</v>
      </c>
      <c r="C1462" s="167" t="s">
        <v>54</v>
      </c>
      <c r="D1462" s="167" t="s">
        <v>2163</v>
      </c>
      <c r="E1462" s="167" t="s">
        <v>54</v>
      </c>
      <c r="F1462" s="167" t="s">
        <v>240</v>
      </c>
      <c r="G1462" s="167" t="s">
        <v>2134</v>
      </c>
    </row>
    <row r="1463">
      <c r="A1463" s="167" t="s">
        <v>2756</v>
      </c>
      <c r="B1463" s="167" t="str">
        <f>IFERROR(__xludf.DUMMYFUNCTION("GOOGLEFINANCE(A1463,""Name"")"),"Regency Centers Corp Bdr")</f>
        <v>Regency Centers Corp Bdr</v>
      </c>
      <c r="C1463" s="167" t="s">
        <v>54</v>
      </c>
      <c r="D1463" s="167" t="s">
        <v>2163</v>
      </c>
      <c r="E1463" s="167" t="s">
        <v>54</v>
      </c>
      <c r="F1463" s="167" t="s">
        <v>240</v>
      </c>
      <c r="G1463" s="167" t="s">
        <v>2134</v>
      </c>
    </row>
    <row r="1464">
      <c r="A1464" s="167" t="s">
        <v>2757</v>
      </c>
      <c r="B1464" s="167" t="str">
        <f>IFERROR(__xludf.DUMMYFUNCTION("GOOGLEFINANCE(A1464,""Name"")"),"Regeneron Pharmaceuticals Inc BDR")</f>
        <v>Regeneron Pharmaceuticals Inc BDR</v>
      </c>
      <c r="C1464" s="167" t="s">
        <v>54</v>
      </c>
      <c r="D1464" s="167" t="s">
        <v>2758</v>
      </c>
      <c r="E1464" s="167" t="s">
        <v>54</v>
      </c>
      <c r="F1464" s="167" t="s">
        <v>240</v>
      </c>
      <c r="G1464" s="167" t="s">
        <v>2134</v>
      </c>
    </row>
    <row r="1465">
      <c r="A1465" s="167" t="s">
        <v>2759</v>
      </c>
      <c r="B1465" s="167" t="str">
        <f>IFERROR(__xludf.DUMMYFUNCTION("GOOGLEFINANCE(A1465,""Name"")"),"Regions Financial Corp Brazilian Depositary Receipt")</f>
        <v>Regions Financial Corp Brazilian Depositary Receipt</v>
      </c>
      <c r="C1465" s="167" t="s">
        <v>54</v>
      </c>
      <c r="D1465" s="167" t="s">
        <v>2257</v>
      </c>
      <c r="E1465" s="167" t="s">
        <v>54</v>
      </c>
      <c r="F1465" s="167" t="s">
        <v>240</v>
      </c>
      <c r="G1465" s="167" t="s">
        <v>2134</v>
      </c>
    </row>
    <row r="1466">
      <c r="A1466" s="167" t="s">
        <v>2760</v>
      </c>
      <c r="B1466" s="167" t="str">
        <f>IFERROR(__xludf.DUMMYFUNCTION("GOOGLEFINANCE(A1466,""Name"")"),"Relx Plc Bdr")</f>
        <v>Relx Plc Bdr</v>
      </c>
      <c r="C1466" s="167" t="s">
        <v>54</v>
      </c>
      <c r="D1466" s="167" t="s">
        <v>2363</v>
      </c>
      <c r="E1466" s="167" t="s">
        <v>54</v>
      </c>
      <c r="F1466" s="167" t="s">
        <v>2183</v>
      </c>
      <c r="G1466" s="167" t="s">
        <v>2134</v>
      </c>
    </row>
    <row r="1467">
      <c r="A1467" s="167" t="s">
        <v>2761</v>
      </c>
      <c r="B1467" s="167" t="str">
        <f>IFERROR(__xludf.DUMMYFUNCTION("GOOGLEFINANCE(A1467,""Name"")"),"Republic Services Inc Bdr")</f>
        <v>Republic Services Inc Bdr</v>
      </c>
      <c r="C1467" s="167" t="s">
        <v>54</v>
      </c>
      <c r="D1467" s="167" t="s">
        <v>1051</v>
      </c>
      <c r="E1467" s="167" t="s">
        <v>54</v>
      </c>
      <c r="F1467" s="167" t="s">
        <v>240</v>
      </c>
      <c r="G1467" s="167" t="s">
        <v>2134</v>
      </c>
    </row>
    <row r="1468">
      <c r="A1468" s="167" t="s">
        <v>2762</v>
      </c>
      <c r="B1468" s="167" t="str">
        <f>IFERROR(__xludf.DUMMYFUNCTION("GOOGLEFINANCE(A1468,""Name"")"),"Resmed Inc Bdr")</f>
        <v>Resmed Inc Bdr</v>
      </c>
      <c r="C1468" s="167" t="s">
        <v>54</v>
      </c>
      <c r="D1468" s="167" t="s">
        <v>675</v>
      </c>
      <c r="E1468" s="167" t="s">
        <v>54</v>
      </c>
      <c r="F1468" s="167" t="s">
        <v>240</v>
      </c>
      <c r="G1468" s="167" t="s">
        <v>2134</v>
      </c>
    </row>
    <row r="1469">
      <c r="A1469" s="167" t="s">
        <v>2763</v>
      </c>
      <c r="B1469" s="167" t="str">
        <f>IFERROR(__xludf.DUMMYFUNCTION("GOOGLEFINANCE(A1469,""Name"")"),"Rio Tinto Plc Bdr")</f>
        <v>Rio Tinto Plc Bdr</v>
      </c>
      <c r="C1469" s="167" t="s">
        <v>54</v>
      </c>
      <c r="D1469" s="167" t="s">
        <v>159</v>
      </c>
      <c r="E1469" s="167" t="s">
        <v>54</v>
      </c>
      <c r="F1469" s="167" t="s">
        <v>2183</v>
      </c>
      <c r="G1469" s="167" t="s">
        <v>2134</v>
      </c>
    </row>
    <row r="1470">
      <c r="A1470" s="167" t="s">
        <v>2764</v>
      </c>
      <c r="B1470" s="167" t="str">
        <f>IFERROR(__xludf.DUMMYFUNCTION("GOOGLEFINANCE(A1470,""Name"")"),"Robert Half International Inc Bdr")</f>
        <v>Robert Half International Inc Bdr</v>
      </c>
      <c r="C1470" s="167" t="s">
        <v>54</v>
      </c>
      <c r="D1470" s="167" t="s">
        <v>2480</v>
      </c>
      <c r="E1470" s="167" t="s">
        <v>54</v>
      </c>
      <c r="F1470" s="167" t="s">
        <v>240</v>
      </c>
      <c r="G1470" s="167" t="s">
        <v>2134</v>
      </c>
    </row>
    <row r="1471">
      <c r="A1471" s="167" t="s">
        <v>2765</v>
      </c>
      <c r="B1471" s="167" t="str">
        <f>IFERROR(__xludf.DUMMYFUNCTION("GOOGLEFINANCE(A1471,""Name"")"),"Rockwell Automation Inc Bdr")</f>
        <v>Rockwell Automation Inc Bdr</v>
      </c>
      <c r="C1471" s="167" t="s">
        <v>54</v>
      </c>
      <c r="D1471" s="167" t="s">
        <v>2467</v>
      </c>
      <c r="E1471" s="167" t="s">
        <v>54</v>
      </c>
      <c r="F1471" s="167" t="s">
        <v>240</v>
      </c>
      <c r="G1471" s="167" t="s">
        <v>2134</v>
      </c>
    </row>
    <row r="1472">
      <c r="A1472" s="167" t="s">
        <v>2766</v>
      </c>
      <c r="B1472" s="167" t="str">
        <f>IFERROR(__xludf.DUMMYFUNCTION("GOOGLEFINANCE(A1472,""Name"")"),"Roku Bdr")</f>
        <v>Roku Bdr</v>
      </c>
      <c r="C1472" s="167" t="s">
        <v>54</v>
      </c>
      <c r="D1472" s="167" t="s">
        <v>2186</v>
      </c>
      <c r="E1472" s="167" t="s">
        <v>54</v>
      </c>
      <c r="F1472" s="167" t="s">
        <v>240</v>
      </c>
      <c r="G1472" s="167" t="s">
        <v>2134</v>
      </c>
    </row>
    <row r="1473">
      <c r="A1473" s="167" t="s">
        <v>2767</v>
      </c>
      <c r="B1473" s="167" t="str">
        <f>IFERROR(__xludf.DUMMYFUNCTION("GOOGLEFINANCE(A1473,""Name"")"),"Rollins Inc Bdr")</f>
        <v>Rollins Inc Bdr</v>
      </c>
      <c r="C1473" s="167" t="s">
        <v>54</v>
      </c>
      <c r="D1473" s="167" t="s">
        <v>1051</v>
      </c>
      <c r="E1473" s="167" t="s">
        <v>54</v>
      </c>
      <c r="F1473" s="167" t="s">
        <v>240</v>
      </c>
      <c r="G1473" s="167" t="s">
        <v>2134</v>
      </c>
    </row>
    <row r="1474">
      <c r="A1474" s="167" t="s">
        <v>2768</v>
      </c>
      <c r="B1474" s="167" t="str">
        <f>IFERROR(__xludf.DUMMYFUNCTION("GOOGLEFINANCE(A1474,""Name"")"),"Roper Technologies Inc Bdr")</f>
        <v>Roper Technologies Inc Bdr</v>
      </c>
      <c r="C1474" s="167" t="s">
        <v>54</v>
      </c>
      <c r="D1474" s="167" t="s">
        <v>2405</v>
      </c>
      <c r="E1474" s="167" t="s">
        <v>54</v>
      </c>
      <c r="F1474" s="167" t="s">
        <v>240</v>
      </c>
      <c r="G1474" s="167" t="s">
        <v>2134</v>
      </c>
    </row>
    <row r="1475">
      <c r="A1475" s="167" t="s">
        <v>2769</v>
      </c>
      <c r="B1475" s="167" t="str">
        <f>IFERROR(__xludf.DUMMYFUNCTION("GOOGLEFINANCE(A1475,""Name"")"),"Ross Stores BDR")</f>
        <v>Ross Stores BDR</v>
      </c>
      <c r="C1475" s="167" t="s">
        <v>54</v>
      </c>
      <c r="D1475" s="167" t="s">
        <v>524</v>
      </c>
      <c r="E1475" s="167" t="s">
        <v>54</v>
      </c>
      <c r="F1475" s="167" t="s">
        <v>240</v>
      </c>
      <c r="G1475" s="167" t="s">
        <v>2134</v>
      </c>
    </row>
    <row r="1476">
      <c r="A1476" s="167" t="s">
        <v>2770</v>
      </c>
      <c r="B1476" s="167" t="str">
        <f>IFERROR(__xludf.DUMMYFUNCTION("GOOGLEFINANCE(A1476,""Name"")"),"Royal Caribbean Cruises Ltd Bdr")</f>
        <v>Royal Caribbean Cruises Ltd Bdr</v>
      </c>
      <c r="C1476" s="167" t="s">
        <v>54</v>
      </c>
      <c r="D1476" s="167" t="s">
        <v>2771</v>
      </c>
      <c r="E1476" s="167" t="s">
        <v>54</v>
      </c>
      <c r="F1476" s="167" t="s">
        <v>240</v>
      </c>
      <c r="G1476" s="167" t="s">
        <v>2134</v>
      </c>
    </row>
    <row r="1477">
      <c r="A1477" s="167" t="s">
        <v>2772</v>
      </c>
      <c r="B1477" s="167" t="str">
        <f>IFERROR(__xludf.DUMMYFUNCTION("GOOGLEFINANCE(A1477,""Name"")"),"#N/A")</f>
        <v>#N/A</v>
      </c>
      <c r="C1477" s="167" t="s">
        <v>54</v>
      </c>
      <c r="D1477" s="167" t="s">
        <v>2153</v>
      </c>
      <c r="E1477" s="167" t="s">
        <v>54</v>
      </c>
      <c r="F1477" s="167" t="s">
        <v>2232</v>
      </c>
      <c r="G1477" s="167" t="s">
        <v>2134</v>
      </c>
    </row>
    <row r="1478">
      <c r="A1478" s="167" t="s">
        <v>2773</v>
      </c>
      <c r="B1478" s="167" t="str">
        <f>IFERROR(__xludf.DUMMYFUNCTION("GOOGLEFINANCE(A1478,""Name"")"),"Ryanair Holdings Plc Bdr")</f>
        <v>Ryanair Holdings Plc Bdr</v>
      </c>
      <c r="C1478" s="167" t="s">
        <v>54</v>
      </c>
      <c r="D1478" s="167" t="s">
        <v>2774</v>
      </c>
      <c r="E1478" s="167" t="s">
        <v>54</v>
      </c>
      <c r="F1478" s="167" t="s">
        <v>2775</v>
      </c>
      <c r="G1478" s="167" t="s">
        <v>2134</v>
      </c>
    </row>
    <row r="1479">
      <c r="A1479" s="167" t="s">
        <v>2776</v>
      </c>
      <c r="B1479" s="167" t="str">
        <f>IFERROR(__xludf.DUMMYFUNCTION("GOOGLEFINANCE(A1479,""Name"")"),"S&amp;P Global Inc BDR")</f>
        <v>S&amp;P Global Inc BDR</v>
      </c>
      <c r="C1479" s="167" t="s">
        <v>54</v>
      </c>
      <c r="D1479" s="167" t="s">
        <v>2194</v>
      </c>
      <c r="E1479" s="167" t="s">
        <v>54</v>
      </c>
      <c r="F1479" s="167" t="s">
        <v>240</v>
      </c>
      <c r="G1479" s="167" t="s">
        <v>2134</v>
      </c>
    </row>
    <row r="1480">
      <c r="A1480" s="167" t="s">
        <v>2777</v>
      </c>
      <c r="B1480" s="167" t="str">
        <f>IFERROR(__xludf.DUMMYFUNCTION("GOOGLEFINANCE(A1480,""Name"")"),"Salesforce Com BDR")</f>
        <v>Salesforce Com BDR</v>
      </c>
      <c r="C1480" s="167" t="s">
        <v>54</v>
      </c>
      <c r="D1480" s="167" t="s">
        <v>719</v>
      </c>
      <c r="E1480" s="167" t="s">
        <v>54</v>
      </c>
      <c r="F1480" s="167" t="s">
        <v>240</v>
      </c>
      <c r="G1480" s="167" t="s">
        <v>2134</v>
      </c>
    </row>
    <row r="1481">
      <c r="A1481" s="167" t="s">
        <v>2778</v>
      </c>
      <c r="B1481" s="167" t="str">
        <f>IFERROR(__xludf.DUMMYFUNCTION("GOOGLEFINANCE(A1481,""Name"")"),"Banco Santander Sa Bdr")</f>
        <v>Banco Santander Sa Bdr</v>
      </c>
      <c r="C1481" s="167" t="s">
        <v>54</v>
      </c>
      <c r="D1481" s="167" t="s">
        <v>2257</v>
      </c>
      <c r="E1481" s="167" t="s">
        <v>54</v>
      </c>
      <c r="F1481" s="167" t="s">
        <v>2266</v>
      </c>
      <c r="G1481" s="167" t="s">
        <v>2134</v>
      </c>
    </row>
    <row r="1482">
      <c r="A1482" s="167" t="s">
        <v>2779</v>
      </c>
      <c r="B1482" s="167" t="str">
        <f>IFERROR(__xludf.DUMMYFUNCTION("GOOGLEFINANCE(A1482,""Name"")"),"Sap Se Bdr")</f>
        <v>Sap Se Bdr</v>
      </c>
      <c r="C1482" s="167" t="s">
        <v>54</v>
      </c>
      <c r="D1482" s="167" t="s">
        <v>2780</v>
      </c>
      <c r="E1482" s="167" t="s">
        <v>54</v>
      </c>
      <c r="F1482" s="167" t="s">
        <v>2389</v>
      </c>
      <c r="G1482" s="167" t="s">
        <v>2134</v>
      </c>
    </row>
    <row r="1483">
      <c r="A1483" s="167" t="s">
        <v>2781</v>
      </c>
      <c r="B1483" s="167" t="str">
        <f>IFERROR(__xludf.DUMMYFUNCTION("GOOGLEFINANCE(A1483,""Name"")"),"Sarepta Therapeutics Bdr")</f>
        <v>Sarepta Therapeutics Bdr</v>
      </c>
      <c r="C1483" s="167" t="s">
        <v>54</v>
      </c>
      <c r="D1483" s="167" t="s">
        <v>2176</v>
      </c>
      <c r="E1483" s="167" t="s">
        <v>54</v>
      </c>
      <c r="F1483" s="167" t="s">
        <v>240</v>
      </c>
      <c r="G1483" s="167" t="s">
        <v>2134</v>
      </c>
    </row>
    <row r="1484">
      <c r="A1484" s="167" t="s">
        <v>2782</v>
      </c>
      <c r="B1484" s="167" t="str">
        <f>IFERROR(__xludf.DUMMYFUNCTION("GOOGLEFINANCE(A1484,""Name"")"),"Sba Communications Corp Bdr")</f>
        <v>Sba Communications Corp Bdr</v>
      </c>
      <c r="C1484" s="167" t="s">
        <v>54</v>
      </c>
      <c r="D1484" s="167" t="s">
        <v>2145</v>
      </c>
      <c r="E1484" s="167" t="s">
        <v>54</v>
      </c>
      <c r="F1484" s="167" t="s">
        <v>240</v>
      </c>
      <c r="G1484" s="167" t="s">
        <v>2134</v>
      </c>
    </row>
    <row r="1485">
      <c r="A1485" s="167" t="s">
        <v>2783</v>
      </c>
      <c r="B1485" s="167" t="str">
        <f>IFERROR(__xludf.DUMMYFUNCTION("GOOGLEFINANCE(A1485,""Name"")"),"The Charles Schwab Corporation BDR")</f>
        <v>The Charles Schwab Corporation BDR</v>
      </c>
      <c r="C1485" s="167" t="s">
        <v>54</v>
      </c>
      <c r="D1485" s="167" t="s">
        <v>2194</v>
      </c>
      <c r="E1485" s="167" t="s">
        <v>54</v>
      </c>
      <c r="F1485" s="167" t="s">
        <v>240</v>
      </c>
      <c r="G1485" s="167" t="s">
        <v>2134</v>
      </c>
    </row>
    <row r="1486">
      <c r="A1486" s="167" t="s">
        <v>2784</v>
      </c>
      <c r="B1486" s="167" t="str">
        <f>IFERROR(__xludf.DUMMYFUNCTION("GOOGLEFINANCE(A1486,""Name"")"),"Seagate Technology Plc Brazilian Depositary Receipt")</f>
        <v>Seagate Technology Plc Brazilian Depositary Receipt</v>
      </c>
      <c r="C1486" s="167" t="s">
        <v>54</v>
      </c>
      <c r="D1486" s="167" t="s">
        <v>2145</v>
      </c>
      <c r="E1486" s="167" t="s">
        <v>54</v>
      </c>
      <c r="F1486" s="167" t="s">
        <v>240</v>
      </c>
      <c r="G1486" s="167" t="s">
        <v>2134</v>
      </c>
    </row>
    <row r="1487">
      <c r="A1487" s="167" t="s">
        <v>2785</v>
      </c>
      <c r="B1487" s="167" t="str">
        <f>IFERROR(__xludf.DUMMYFUNCTION("GOOGLEFINANCE(A1487,""Name"")"),"#N/A")</f>
        <v>#N/A</v>
      </c>
      <c r="C1487" s="167" t="s">
        <v>54</v>
      </c>
      <c r="D1487" s="167" t="s">
        <v>268</v>
      </c>
      <c r="E1487" s="167" t="s">
        <v>54</v>
      </c>
      <c r="F1487" s="167" t="s">
        <v>240</v>
      </c>
      <c r="G1487" s="167" t="s">
        <v>2134</v>
      </c>
    </row>
    <row r="1488">
      <c r="A1488" s="167" t="s">
        <v>2786</v>
      </c>
      <c r="B1488" s="167" t="str">
        <f>IFERROR(__xludf.DUMMYFUNCTION("GOOGLEFINANCE(A1488,""Name"")"),"#N/A")</f>
        <v>#N/A</v>
      </c>
      <c r="C1488" s="167" t="s">
        <v>54</v>
      </c>
      <c r="D1488" s="167" t="s">
        <v>2176</v>
      </c>
      <c r="E1488" s="167" t="s">
        <v>54</v>
      </c>
      <c r="F1488" s="167" t="s">
        <v>240</v>
      </c>
      <c r="G1488" s="167" t="s">
        <v>2134</v>
      </c>
    </row>
    <row r="1489">
      <c r="A1489" s="167" t="s">
        <v>2787</v>
      </c>
      <c r="B1489" s="167" t="str">
        <f>IFERROR(__xludf.DUMMYFUNCTION("GOOGLEFINANCE(A1489,""Name"")"),"Sempra Energy Bdr")</f>
        <v>Sempra Energy Bdr</v>
      </c>
      <c r="C1489" s="167" t="s">
        <v>54</v>
      </c>
      <c r="D1489" s="167" t="s">
        <v>2153</v>
      </c>
      <c r="E1489" s="167" t="s">
        <v>54</v>
      </c>
      <c r="F1489" s="167" t="s">
        <v>240</v>
      </c>
      <c r="G1489" s="167" t="s">
        <v>2134</v>
      </c>
    </row>
    <row r="1490">
      <c r="A1490" s="167" t="s">
        <v>2788</v>
      </c>
      <c r="B1490" s="167" t="str">
        <f>IFERROR(__xludf.DUMMYFUNCTION("GOOGLEFINANCE(A1490,""Name"")"),"ServiceNow Bdr")</f>
        <v>ServiceNow Bdr</v>
      </c>
      <c r="C1490" s="167" t="s">
        <v>54</v>
      </c>
      <c r="D1490" s="167" t="s">
        <v>2145</v>
      </c>
      <c r="E1490" s="167" t="s">
        <v>54</v>
      </c>
      <c r="F1490" s="167" t="s">
        <v>240</v>
      </c>
      <c r="G1490" s="167" t="s">
        <v>2134</v>
      </c>
    </row>
    <row r="1491">
      <c r="A1491" s="167" t="s">
        <v>2789</v>
      </c>
      <c r="B1491" s="167" t="str">
        <f>IFERROR(__xludf.DUMMYFUNCTION("GOOGLEFINANCE(A1491,""Name"")"),"Sibanye Stillwater Lts Bdr")</f>
        <v>Sibanye Stillwater Lts Bdr</v>
      </c>
      <c r="C1491" s="167" t="s">
        <v>54</v>
      </c>
      <c r="D1491" s="167" t="s">
        <v>159</v>
      </c>
      <c r="E1491" s="167" t="s">
        <v>54</v>
      </c>
      <c r="F1491" s="167" t="s">
        <v>2205</v>
      </c>
      <c r="G1491" s="167" t="s">
        <v>2134</v>
      </c>
    </row>
    <row r="1492">
      <c r="A1492" s="167" t="s">
        <v>2790</v>
      </c>
      <c r="B1492" s="167" t="str">
        <f>IFERROR(__xludf.DUMMYFUNCTION("GOOGLEFINANCE(A1492,""Name"")"),"#N/A")</f>
        <v>#N/A</v>
      </c>
      <c r="C1492" s="167" t="s">
        <v>54</v>
      </c>
      <c r="D1492" s="167" t="s">
        <v>2194</v>
      </c>
      <c r="E1492" s="167" t="s">
        <v>54</v>
      </c>
      <c r="F1492" s="167" t="s">
        <v>240</v>
      </c>
      <c r="G1492" s="167" t="s">
        <v>2134</v>
      </c>
    </row>
    <row r="1493">
      <c r="A1493" s="167" t="s">
        <v>2791</v>
      </c>
      <c r="B1493" s="167" t="str">
        <f>IFERROR(__xludf.DUMMYFUNCTION("GOOGLEFINANCE(A1493,""Name"")"),"Simon Property Group Inc BDR")</f>
        <v>Simon Property Group Inc BDR</v>
      </c>
      <c r="C1493" s="167" t="s">
        <v>54</v>
      </c>
      <c r="D1493" s="167" t="s">
        <v>2194</v>
      </c>
      <c r="E1493" s="167" t="s">
        <v>54</v>
      </c>
      <c r="F1493" s="167" t="s">
        <v>240</v>
      </c>
      <c r="G1493" s="167" t="s">
        <v>2134</v>
      </c>
    </row>
    <row r="1494">
      <c r="A1494" s="167" t="s">
        <v>2792</v>
      </c>
      <c r="B1494" s="167" t="str">
        <f>IFERROR(__xludf.DUMMYFUNCTION("GOOGLEFINANCE(A1494,""Name"")"),"#N/A")</f>
        <v>#N/A</v>
      </c>
      <c r="C1494" s="167" t="s">
        <v>54</v>
      </c>
      <c r="D1494" s="167" t="s">
        <v>2186</v>
      </c>
      <c r="E1494" s="167" t="s">
        <v>54</v>
      </c>
      <c r="F1494" s="167" t="s">
        <v>240</v>
      </c>
      <c r="G1494" s="167" t="s">
        <v>2134</v>
      </c>
    </row>
    <row r="1495">
      <c r="A1495" s="167" t="s">
        <v>2793</v>
      </c>
      <c r="B1495" s="167" t="str">
        <f>IFERROR(__xludf.DUMMYFUNCTION("GOOGLEFINANCE(A1495,""Name"")"),"Sk Telecom Bdr")</f>
        <v>Sk Telecom Bdr</v>
      </c>
      <c r="C1495" s="167" t="s">
        <v>54</v>
      </c>
      <c r="D1495" s="167" t="s">
        <v>2186</v>
      </c>
      <c r="E1495" s="167" t="s">
        <v>54</v>
      </c>
      <c r="F1495" s="167" t="s">
        <v>2591</v>
      </c>
      <c r="G1495" s="167" t="s">
        <v>2134</v>
      </c>
    </row>
    <row r="1496">
      <c r="A1496" s="167" t="s">
        <v>2794</v>
      </c>
      <c r="B1496" s="167" t="str">
        <f>IFERROR(__xludf.DUMMYFUNCTION("GOOGLEFINANCE(A1496,""Name"")"),"Skyworks Solutions Inc Bdr")</f>
        <v>Skyworks Solutions Inc Bdr</v>
      </c>
      <c r="C1496" s="167" t="s">
        <v>54</v>
      </c>
      <c r="D1496" s="167" t="s">
        <v>2216</v>
      </c>
      <c r="E1496" s="167" t="s">
        <v>54</v>
      </c>
      <c r="F1496" s="167" t="s">
        <v>240</v>
      </c>
      <c r="G1496" s="167" t="s">
        <v>2134</v>
      </c>
    </row>
    <row r="1497">
      <c r="A1497" s="167" t="s">
        <v>2795</v>
      </c>
      <c r="B1497" s="167" t="str">
        <f>IFERROR(__xludf.DUMMYFUNCTION("GOOGLEFINANCE(A1497,""Name"")"),"Sl Green Realty Corp Bdr")</f>
        <v>Sl Green Realty Corp Bdr</v>
      </c>
      <c r="C1497" s="167" t="s">
        <v>54</v>
      </c>
      <c r="D1497" s="167" t="s">
        <v>2163</v>
      </c>
      <c r="E1497" s="167" t="s">
        <v>54</v>
      </c>
      <c r="F1497" s="167" t="s">
        <v>240</v>
      </c>
      <c r="G1497" s="167" t="s">
        <v>2134</v>
      </c>
    </row>
    <row r="1498">
      <c r="A1498" s="167" t="s">
        <v>2796</v>
      </c>
      <c r="B1498" s="167" t="str">
        <f>IFERROR(__xludf.DUMMYFUNCTION("GOOGLEFINANCE(A1498,""Name"")"),"Smith Nephew Plc Bdr")</f>
        <v>Smith Nephew Plc Bdr</v>
      </c>
      <c r="C1498" s="167" t="s">
        <v>54</v>
      </c>
      <c r="D1498" s="167" t="s">
        <v>2176</v>
      </c>
      <c r="E1498" s="167" t="s">
        <v>54</v>
      </c>
      <c r="F1498" s="167" t="s">
        <v>2183</v>
      </c>
      <c r="G1498" s="167" t="s">
        <v>2134</v>
      </c>
    </row>
    <row r="1499">
      <c r="A1499" s="167" t="s">
        <v>2797</v>
      </c>
      <c r="B1499" s="167" t="str">
        <f>IFERROR(__xludf.DUMMYFUNCTION("GOOGLEFINANCE(A1499,""Name"")"),"Snap-On Inc Bdr")</f>
        <v>Snap-On Inc Bdr</v>
      </c>
      <c r="C1499" s="167" t="s">
        <v>54</v>
      </c>
      <c r="D1499" s="167" t="s">
        <v>2798</v>
      </c>
      <c r="E1499" s="167" t="s">
        <v>54</v>
      </c>
      <c r="F1499" s="167" t="s">
        <v>240</v>
      </c>
      <c r="G1499" s="167" t="s">
        <v>2134</v>
      </c>
    </row>
    <row r="1500">
      <c r="A1500" s="167" t="s">
        <v>2799</v>
      </c>
      <c r="B1500" s="167" t="str">
        <f>IFERROR(__xludf.DUMMYFUNCTION("GOOGLEFINANCE(A1500,""Name"")"),"Sony Corp Bdr")</f>
        <v>Sony Corp Bdr</v>
      </c>
      <c r="C1500" s="167" t="s">
        <v>54</v>
      </c>
      <c r="D1500" s="167" t="s">
        <v>2202</v>
      </c>
      <c r="E1500" s="167" t="s">
        <v>54</v>
      </c>
      <c r="F1500" s="167" t="s">
        <v>2297</v>
      </c>
      <c r="G1500" s="167" t="s">
        <v>2134</v>
      </c>
    </row>
    <row r="1501">
      <c r="A1501" s="167" t="s">
        <v>2800</v>
      </c>
      <c r="B1501" s="167" t="str">
        <f>IFERROR(__xludf.DUMMYFUNCTION("GOOGLEFINANCE(A1501,""Name"")"),"Southwest Airlines Co Bdr")</f>
        <v>Southwest Airlines Co Bdr</v>
      </c>
      <c r="C1501" s="167" t="s">
        <v>54</v>
      </c>
      <c r="D1501" s="167" t="s">
        <v>2801</v>
      </c>
      <c r="E1501" s="167" t="s">
        <v>54</v>
      </c>
      <c r="F1501" s="167" t="s">
        <v>240</v>
      </c>
      <c r="G1501" s="167" t="s">
        <v>2134</v>
      </c>
    </row>
    <row r="1502">
      <c r="A1502" s="167" t="s">
        <v>2802</v>
      </c>
      <c r="B1502" s="167" t="str">
        <f>IFERROR(__xludf.DUMMYFUNCTION("GOOGLEFINANCE(A1502,""Name"")"),"#N/A")</f>
        <v>#N/A</v>
      </c>
      <c r="C1502" s="167" t="s">
        <v>54</v>
      </c>
      <c r="D1502" s="167" t="s">
        <v>2145</v>
      </c>
      <c r="E1502" s="167" t="s">
        <v>54</v>
      </c>
      <c r="F1502" s="167" t="s">
        <v>240</v>
      </c>
      <c r="G1502" s="167" t="s">
        <v>2134</v>
      </c>
    </row>
    <row r="1503">
      <c r="A1503" s="167" t="s">
        <v>2803</v>
      </c>
      <c r="B1503" s="167" t="str">
        <f>IFERROR(__xludf.DUMMYFUNCTION("GOOGLEFINANCE(A1503,""Name"")"),"Spotify Technology Sa Bdr")</f>
        <v>Spotify Technology Sa Bdr</v>
      </c>
      <c r="C1503" s="167" t="s">
        <v>54</v>
      </c>
      <c r="D1503" s="167" t="s">
        <v>2145</v>
      </c>
      <c r="E1503" s="167" t="s">
        <v>54</v>
      </c>
      <c r="F1503" s="167" t="s">
        <v>240</v>
      </c>
      <c r="G1503" s="167" t="s">
        <v>2134</v>
      </c>
    </row>
    <row r="1504">
      <c r="A1504" s="167" t="s">
        <v>2804</v>
      </c>
      <c r="B1504" s="167" t="str">
        <f>IFERROR(__xludf.DUMMYFUNCTION("GOOGLEFINANCE(A1504,""Name"")"),"SS&amp;C Techologies Holdings Bdr")</f>
        <v>SS&amp;C Techologies Holdings Bdr</v>
      </c>
      <c r="C1504" s="167" t="s">
        <v>54</v>
      </c>
      <c r="D1504" s="167" t="s">
        <v>2145</v>
      </c>
      <c r="E1504" s="167" t="s">
        <v>54</v>
      </c>
      <c r="F1504" s="167" t="s">
        <v>240</v>
      </c>
      <c r="G1504" s="167" t="s">
        <v>2134</v>
      </c>
    </row>
    <row r="1505">
      <c r="A1505" s="167" t="s">
        <v>2805</v>
      </c>
      <c r="B1505" s="167" t="str">
        <f>IFERROR(__xludf.DUMMYFUNCTION("GOOGLEFINANCE(A1505,""Name"")"),"Stanley Black &amp; Decker Inc Bdr")</f>
        <v>Stanley Black &amp; Decker Inc Bdr</v>
      </c>
      <c r="C1505" s="167" t="s">
        <v>54</v>
      </c>
      <c r="D1505" s="167" t="s">
        <v>2798</v>
      </c>
      <c r="E1505" s="167" t="s">
        <v>54</v>
      </c>
      <c r="F1505" s="167" t="s">
        <v>240</v>
      </c>
      <c r="G1505" s="167" t="s">
        <v>2134</v>
      </c>
    </row>
    <row r="1506">
      <c r="A1506" s="167" t="s">
        <v>2806</v>
      </c>
      <c r="B1506" s="167" t="str">
        <f>IFERROR(__xludf.DUMMYFUNCTION("GOOGLEFINANCE(A1506,""Name"")"),"State Street Corp Brazilian Depositary Receipt")</f>
        <v>State Street Corp Brazilian Depositary Receipt</v>
      </c>
      <c r="C1506" s="167" t="s">
        <v>54</v>
      </c>
      <c r="D1506" s="167" t="s">
        <v>2257</v>
      </c>
      <c r="E1506" s="167" t="s">
        <v>54</v>
      </c>
      <c r="F1506" s="167" t="s">
        <v>240</v>
      </c>
      <c r="G1506" s="167" t="s">
        <v>2134</v>
      </c>
    </row>
    <row r="1507">
      <c r="A1507" s="167" t="s">
        <v>2807</v>
      </c>
      <c r="B1507" s="167" t="str">
        <f>IFERROR(__xludf.DUMMYFUNCTION("GOOGLEFINANCE(A1507,""Name"")"),"Steris Plc Bdr")</f>
        <v>Steris Plc Bdr</v>
      </c>
      <c r="C1507" s="167" t="s">
        <v>54</v>
      </c>
      <c r="D1507" s="167" t="s">
        <v>2176</v>
      </c>
      <c r="E1507" s="167" t="s">
        <v>54</v>
      </c>
      <c r="F1507" s="167" t="s">
        <v>240</v>
      </c>
      <c r="G1507" s="167" t="s">
        <v>2134</v>
      </c>
    </row>
    <row r="1508">
      <c r="A1508" s="167" t="s">
        <v>2808</v>
      </c>
      <c r="B1508" s="167" t="str">
        <f>IFERROR(__xludf.DUMMYFUNCTION("GOOGLEFINANCE(A1508,""Name"")"),"#N/A")</f>
        <v>#N/A</v>
      </c>
      <c r="C1508" s="167" t="s">
        <v>54</v>
      </c>
      <c r="D1508" s="167" t="s">
        <v>2194</v>
      </c>
      <c r="E1508" s="167" t="s">
        <v>54</v>
      </c>
      <c r="F1508" s="167" t="s">
        <v>240</v>
      </c>
      <c r="G1508" s="167" t="s">
        <v>2134</v>
      </c>
    </row>
    <row r="1509">
      <c r="A1509" s="167" t="s">
        <v>2809</v>
      </c>
      <c r="B1509" s="167" t="str">
        <f>IFERROR(__xludf.DUMMYFUNCTION("GOOGLEFINANCE(A1509,""Name"")"),"Stmicroelectronics Nv Bdr")</f>
        <v>Stmicroelectronics Nv Bdr</v>
      </c>
      <c r="C1509" s="167" t="s">
        <v>54</v>
      </c>
      <c r="D1509" s="167" t="s">
        <v>2202</v>
      </c>
      <c r="E1509" s="167" t="s">
        <v>54</v>
      </c>
      <c r="F1509" s="167" t="s">
        <v>2810</v>
      </c>
      <c r="G1509" s="167" t="s">
        <v>2134</v>
      </c>
    </row>
    <row r="1510">
      <c r="A1510" s="167" t="s">
        <v>2811</v>
      </c>
      <c r="B1510" s="167" t="str">
        <f>IFERROR(__xludf.DUMMYFUNCTION("GOOGLEFINANCE(A1510,""Name"")"),"Stryker Corp Bdr")</f>
        <v>Stryker Corp Bdr</v>
      </c>
      <c r="C1510" s="167" t="s">
        <v>54</v>
      </c>
      <c r="D1510" s="167" t="s">
        <v>2812</v>
      </c>
      <c r="E1510" s="167" t="s">
        <v>54</v>
      </c>
      <c r="F1510" s="167" t="s">
        <v>240</v>
      </c>
      <c r="G1510" s="167" t="s">
        <v>2134</v>
      </c>
    </row>
    <row r="1511">
      <c r="A1511" s="167" t="s">
        <v>2813</v>
      </c>
      <c r="B1511" s="167" t="str">
        <f>IFERROR(__xludf.DUMMYFUNCTION("GOOGLEFINANCE(A1511,""Name"")"),"Sumioto Mitsui Financial Group Bdr")</f>
        <v>Sumioto Mitsui Financial Group Bdr</v>
      </c>
      <c r="C1511" s="167" t="s">
        <v>54</v>
      </c>
      <c r="D1511" s="167" t="s">
        <v>875</v>
      </c>
      <c r="E1511" s="167" t="s">
        <v>54</v>
      </c>
      <c r="F1511" s="167" t="s">
        <v>2651</v>
      </c>
      <c r="G1511" s="167" t="s">
        <v>2134</v>
      </c>
    </row>
    <row r="1512">
      <c r="A1512" s="167" t="s">
        <v>2814</v>
      </c>
      <c r="B1512" s="167" t="str">
        <f>IFERROR(__xludf.DUMMYFUNCTION("GOOGLEFINANCE(A1512,""Name"")"),"#N/A")</f>
        <v>#N/A</v>
      </c>
      <c r="C1512" s="167" t="s">
        <v>54</v>
      </c>
      <c r="D1512" s="167" t="s">
        <v>2257</v>
      </c>
      <c r="E1512" s="167" t="s">
        <v>54</v>
      </c>
      <c r="F1512" s="167" t="s">
        <v>240</v>
      </c>
      <c r="G1512" s="167" t="s">
        <v>2134</v>
      </c>
    </row>
    <row r="1513">
      <c r="A1513" s="167" t="s">
        <v>2815</v>
      </c>
      <c r="B1513" s="167" t="str">
        <f>IFERROR(__xludf.DUMMYFUNCTION("GOOGLEFINANCE(A1513,""Name"")"),"Gen Digital Brazilian Depositary Receipt")</f>
        <v>Gen Digital Brazilian Depositary Receipt</v>
      </c>
      <c r="C1513" s="167" t="s">
        <v>54</v>
      </c>
      <c r="D1513" s="167" t="s">
        <v>2816</v>
      </c>
      <c r="E1513" s="167" t="s">
        <v>54</v>
      </c>
      <c r="F1513" s="167" t="s">
        <v>240</v>
      </c>
      <c r="G1513" s="167" t="s">
        <v>2134</v>
      </c>
    </row>
    <row r="1514">
      <c r="A1514" s="167" t="s">
        <v>2817</v>
      </c>
      <c r="B1514" s="167" t="str">
        <f>IFERROR(__xludf.DUMMYFUNCTION("GOOGLEFINANCE(A1514,""Name"")"),"Synchrony Financial Brazilian Depositary Receipt")</f>
        <v>Synchrony Financial Brazilian Depositary Receipt</v>
      </c>
      <c r="C1514" s="167" t="s">
        <v>54</v>
      </c>
      <c r="D1514" s="167" t="s">
        <v>2257</v>
      </c>
      <c r="E1514" s="167" t="s">
        <v>54</v>
      </c>
      <c r="F1514" s="167" t="s">
        <v>240</v>
      </c>
      <c r="G1514" s="167" t="s">
        <v>2134</v>
      </c>
    </row>
    <row r="1515">
      <c r="A1515" s="167" t="s">
        <v>2818</v>
      </c>
      <c r="B1515" s="167" t="str">
        <f>IFERROR(__xludf.DUMMYFUNCTION("GOOGLEFINANCE(A1515,""Name"")"),"Synopsys Inc Bdr")</f>
        <v>Synopsys Inc Bdr</v>
      </c>
      <c r="C1515" s="167" t="s">
        <v>54</v>
      </c>
      <c r="D1515" s="167" t="s">
        <v>2145</v>
      </c>
      <c r="E1515" s="167" t="s">
        <v>54</v>
      </c>
      <c r="F1515" s="167" t="s">
        <v>240</v>
      </c>
      <c r="G1515" s="167" t="s">
        <v>2134</v>
      </c>
    </row>
    <row r="1516">
      <c r="A1516" s="167" t="s">
        <v>2819</v>
      </c>
      <c r="B1516" s="167" t="str">
        <f>IFERROR(__xludf.DUMMYFUNCTION("GOOGLEFINANCE(A1516,""Name"")"),"Sysco Corp Brazilian Depositary Receipt")</f>
        <v>Sysco Corp Brazilian Depositary Receipt</v>
      </c>
      <c r="C1516" s="167" t="s">
        <v>54</v>
      </c>
      <c r="D1516" s="167" t="s">
        <v>476</v>
      </c>
      <c r="E1516" s="167" t="s">
        <v>54</v>
      </c>
      <c r="F1516" s="167" t="s">
        <v>240</v>
      </c>
      <c r="G1516" s="167" t="s">
        <v>2134</v>
      </c>
    </row>
    <row r="1517">
      <c r="A1517" s="167" t="s">
        <v>2820</v>
      </c>
      <c r="B1517" s="167" t="str">
        <f>IFERROR(__xludf.DUMMYFUNCTION("GOOGLEFINANCE(A1517,""Name"")"),"T Rowe Price Group Inc Bdr")</f>
        <v>T Rowe Price Group Inc Bdr</v>
      </c>
      <c r="C1517" s="167" t="s">
        <v>54</v>
      </c>
      <c r="D1517" s="167" t="s">
        <v>946</v>
      </c>
      <c r="E1517" s="167" t="s">
        <v>54</v>
      </c>
      <c r="F1517" s="167" t="s">
        <v>240</v>
      </c>
      <c r="G1517" s="167" t="s">
        <v>2134</v>
      </c>
    </row>
    <row r="1518">
      <c r="A1518" s="167" t="s">
        <v>2821</v>
      </c>
      <c r="B1518" s="167" t="str">
        <f>IFERROR(__xludf.DUMMYFUNCTION("GOOGLEFINANCE(A1518,""Name"")"),"Taiwan Semiconduc Manufact Co Lt Bdr")</f>
        <v>Taiwan Semiconduc Manufact Co Lt Bdr</v>
      </c>
      <c r="C1518" s="167" t="s">
        <v>54</v>
      </c>
      <c r="D1518" s="167" t="s">
        <v>2216</v>
      </c>
      <c r="E1518" s="167" t="s">
        <v>54</v>
      </c>
      <c r="F1518" s="167" t="s">
        <v>2329</v>
      </c>
      <c r="G1518" s="167" t="s">
        <v>2134</v>
      </c>
    </row>
    <row r="1519">
      <c r="A1519" s="167" t="s">
        <v>2822</v>
      </c>
      <c r="B1519" s="167" t="str">
        <f>IFERROR(__xludf.DUMMYFUNCTION("GOOGLEFINANCE(A1519,""Name"")"),"Takeda Pharmaceutical Co Ltd BDR")</f>
        <v>Takeda Pharmaceutical Co Ltd BDR</v>
      </c>
      <c r="C1519" s="167" t="s">
        <v>54</v>
      </c>
      <c r="D1519" s="167" t="s">
        <v>2141</v>
      </c>
      <c r="E1519" s="167" t="s">
        <v>54</v>
      </c>
      <c r="F1519" s="167" t="s">
        <v>2297</v>
      </c>
      <c r="G1519" s="167" t="s">
        <v>2134</v>
      </c>
    </row>
    <row r="1520">
      <c r="A1520" s="167" t="s">
        <v>2823</v>
      </c>
      <c r="B1520" s="167" t="str">
        <f>IFERROR(__xludf.DUMMYFUNCTION("GOOGLEFINANCE(A1520,""Name"")"),"Take-Two Interactive Software Inc Bdr")</f>
        <v>Take-Two Interactive Software Inc Bdr</v>
      </c>
      <c r="C1520" s="167" t="s">
        <v>54</v>
      </c>
      <c r="D1520" s="167" t="s">
        <v>2824</v>
      </c>
      <c r="E1520" s="167" t="s">
        <v>54</v>
      </c>
      <c r="F1520" s="167" t="s">
        <v>240</v>
      </c>
      <c r="G1520" s="167" t="s">
        <v>2134</v>
      </c>
    </row>
    <row r="1521">
      <c r="A1521" s="167" t="s">
        <v>2825</v>
      </c>
      <c r="B1521" s="167" t="str">
        <f>IFERROR(__xludf.DUMMYFUNCTION("GOOGLEFINANCE(A1521,""Name"")"),"Tal Education Group Bdr")</f>
        <v>Tal Education Group Bdr</v>
      </c>
      <c r="C1521" s="167" t="s">
        <v>54</v>
      </c>
      <c r="D1521" s="167" t="s">
        <v>2674</v>
      </c>
      <c r="E1521" s="167" t="s">
        <v>54</v>
      </c>
      <c r="F1521" s="167" t="s">
        <v>2167</v>
      </c>
      <c r="G1521" s="167" t="s">
        <v>2134</v>
      </c>
    </row>
    <row r="1522">
      <c r="A1522" s="167" t="s">
        <v>2826</v>
      </c>
      <c r="B1522" s="167" t="str">
        <f>IFERROR(__xludf.DUMMYFUNCTION("GOOGLEFINANCE(A1522,""Name"")"),"Tapestry Inc BDR")</f>
        <v>Tapestry Inc BDR</v>
      </c>
      <c r="C1522" s="167" t="s">
        <v>54</v>
      </c>
      <c r="D1522" s="167" t="s">
        <v>2827</v>
      </c>
      <c r="E1522" s="167" t="s">
        <v>54</v>
      </c>
      <c r="F1522" s="167" t="s">
        <v>240</v>
      </c>
      <c r="G1522" s="167" t="s">
        <v>2134</v>
      </c>
    </row>
    <row r="1523">
      <c r="A1523" s="167" t="s">
        <v>2828</v>
      </c>
      <c r="B1523" s="167" t="str">
        <f>IFERROR(__xludf.DUMMYFUNCTION("GOOGLEFINANCE(A1523,""Name"")"),"Te Connectivity Ltd Bdr")</f>
        <v>Te Connectivity Ltd Bdr</v>
      </c>
      <c r="C1523" s="167" t="s">
        <v>54</v>
      </c>
      <c r="D1523" s="167" t="s">
        <v>2145</v>
      </c>
      <c r="E1523" s="167" t="s">
        <v>54</v>
      </c>
      <c r="F1523" s="167" t="s">
        <v>240</v>
      </c>
      <c r="G1523" s="167" t="s">
        <v>2134</v>
      </c>
    </row>
    <row r="1524">
      <c r="A1524" s="167" t="s">
        <v>2829</v>
      </c>
      <c r="B1524" s="167" t="str">
        <f>IFERROR(__xludf.DUMMYFUNCTION("GOOGLEFINANCE(A1524,""Name"")"),"Technipfmc Plc Bdr")</f>
        <v>Technipfmc Plc Bdr</v>
      </c>
      <c r="C1524" s="167" t="s">
        <v>54</v>
      </c>
      <c r="D1524" s="167" t="s">
        <v>129</v>
      </c>
      <c r="E1524" s="167" t="s">
        <v>54</v>
      </c>
      <c r="F1524" s="167" t="s">
        <v>240</v>
      </c>
      <c r="G1524" s="167" t="s">
        <v>2134</v>
      </c>
    </row>
    <row r="1525">
      <c r="A1525" s="167" t="s">
        <v>2830</v>
      </c>
      <c r="B1525" s="167" t="str">
        <f>IFERROR(__xludf.DUMMYFUNCTION("GOOGLEFINANCE(A1525,""Name"")"),"Teleflex Inc Bdr")</f>
        <v>Teleflex Inc Bdr</v>
      </c>
      <c r="C1525" s="167" t="s">
        <v>54</v>
      </c>
      <c r="D1525" s="167" t="s">
        <v>675</v>
      </c>
      <c r="E1525" s="167" t="s">
        <v>54</v>
      </c>
      <c r="F1525" s="167" t="s">
        <v>240</v>
      </c>
      <c r="G1525" s="167" t="s">
        <v>2134</v>
      </c>
    </row>
    <row r="1526">
      <c r="A1526" s="167" t="s">
        <v>2831</v>
      </c>
      <c r="B1526" s="167" t="str">
        <f>IFERROR(__xludf.DUMMYFUNCTION("GOOGLEFINANCE(A1526,""Name"")"),"#N/A")</f>
        <v>#N/A</v>
      </c>
      <c r="C1526" s="167" t="s">
        <v>54</v>
      </c>
      <c r="D1526" s="167" t="s">
        <v>733</v>
      </c>
      <c r="E1526" s="167" t="s">
        <v>54</v>
      </c>
      <c r="F1526" s="167" t="s">
        <v>2266</v>
      </c>
      <c r="G1526" s="167" t="s">
        <v>2134</v>
      </c>
    </row>
    <row r="1527">
      <c r="A1527" s="167" t="s">
        <v>2832</v>
      </c>
      <c r="B1527" s="167" t="str">
        <f>IFERROR(__xludf.DUMMYFUNCTION("GOOGLEFINANCE(A1527,""Name"")"),"Tenaris Bdr")</f>
        <v>Tenaris Bdr</v>
      </c>
      <c r="C1527" s="167" t="s">
        <v>54</v>
      </c>
      <c r="D1527" s="167" t="s">
        <v>2138</v>
      </c>
      <c r="E1527" s="167" t="s">
        <v>54</v>
      </c>
      <c r="F1527" s="167" t="s">
        <v>2833</v>
      </c>
      <c r="G1527" s="167" t="s">
        <v>2134</v>
      </c>
    </row>
    <row r="1528">
      <c r="A1528" s="167" t="s">
        <v>2834</v>
      </c>
      <c r="B1528" s="167" t="str">
        <f>IFERROR(__xludf.DUMMYFUNCTION("GOOGLEFINANCE(A1528,""Name"")"),"Ternium Sa Bdr")</f>
        <v>Ternium Sa Bdr</v>
      </c>
      <c r="C1528" s="167" t="s">
        <v>54</v>
      </c>
      <c r="D1528" s="167" t="s">
        <v>173</v>
      </c>
      <c r="E1528" s="167" t="s">
        <v>54</v>
      </c>
      <c r="F1528" s="167" t="s">
        <v>2835</v>
      </c>
      <c r="G1528" s="167" t="s">
        <v>2134</v>
      </c>
    </row>
    <row r="1529">
      <c r="A1529" s="167" t="s">
        <v>2836</v>
      </c>
      <c r="B1529" s="167" t="str">
        <f>IFERROR(__xludf.DUMMYFUNCTION("GOOGLEFINANCE(A1529,""Name"")"),"Tesla Motors Inc BDR")</f>
        <v>Tesla Motors Inc BDR</v>
      </c>
      <c r="C1529" s="167" t="s">
        <v>54</v>
      </c>
      <c r="D1529" s="167" t="s">
        <v>585</v>
      </c>
      <c r="E1529" s="167" t="s">
        <v>54</v>
      </c>
      <c r="F1529" s="167" t="s">
        <v>240</v>
      </c>
      <c r="G1529" s="167" t="s">
        <v>2134</v>
      </c>
    </row>
    <row r="1530">
      <c r="A1530" s="167" t="s">
        <v>2837</v>
      </c>
      <c r="B1530" s="167" t="str">
        <f>IFERROR(__xludf.DUMMYFUNCTION("GOOGLEFINANCE(A1530,""Name"")"),"Teva Pharmaceutical Industries Bdr")</f>
        <v>Teva Pharmaceutical Industries Bdr</v>
      </c>
      <c r="C1530" s="167" t="s">
        <v>54</v>
      </c>
      <c r="D1530" s="167" t="s">
        <v>2176</v>
      </c>
      <c r="E1530" s="167" t="s">
        <v>54</v>
      </c>
      <c r="F1530" s="167" t="s">
        <v>2682</v>
      </c>
      <c r="G1530" s="167" t="s">
        <v>2134</v>
      </c>
    </row>
    <row r="1531">
      <c r="A1531" s="167" t="s">
        <v>2838</v>
      </c>
      <c r="B1531" s="167" t="str">
        <f>IFERROR(__xludf.DUMMYFUNCTION("GOOGLEFINANCE(A1531,""Name"")"),"Textron Inc Bdr")</f>
        <v>Textron Inc Bdr</v>
      </c>
      <c r="C1531" s="167" t="s">
        <v>54</v>
      </c>
      <c r="D1531" s="167" t="s">
        <v>2405</v>
      </c>
      <c r="E1531" s="167" t="s">
        <v>54</v>
      </c>
      <c r="F1531" s="167" t="s">
        <v>240</v>
      </c>
      <c r="G1531" s="167" t="s">
        <v>2134</v>
      </c>
    </row>
    <row r="1532">
      <c r="A1532" s="167" t="s">
        <v>2839</v>
      </c>
      <c r="B1532" s="167" t="str">
        <f>IFERROR(__xludf.DUMMYFUNCTION("GOOGLEFINANCE(A1532,""Name"")"),"The Jm Smucker Co Bdr")</f>
        <v>The Jm Smucker Co Bdr</v>
      </c>
      <c r="C1532" s="167" t="s">
        <v>54</v>
      </c>
      <c r="D1532" s="167" t="s">
        <v>2840</v>
      </c>
      <c r="E1532" s="167" t="s">
        <v>54</v>
      </c>
      <c r="F1532" s="167" t="s">
        <v>240</v>
      </c>
      <c r="G1532" s="167" t="s">
        <v>2134</v>
      </c>
    </row>
    <row r="1533">
      <c r="A1533" s="167" t="s">
        <v>2841</v>
      </c>
      <c r="B1533" s="167" t="str">
        <f>IFERROR(__xludf.DUMMYFUNCTION("GOOGLEFINANCE(A1533,""Name"")"),"The Progressive Corp Bdr")</f>
        <v>The Progressive Corp Bdr</v>
      </c>
      <c r="C1533" s="167" t="s">
        <v>54</v>
      </c>
      <c r="D1533" s="167" t="s">
        <v>2155</v>
      </c>
      <c r="E1533" s="167" t="s">
        <v>54</v>
      </c>
      <c r="F1533" s="167" t="s">
        <v>240</v>
      </c>
      <c r="G1533" s="167" t="s">
        <v>2134</v>
      </c>
    </row>
    <row r="1534">
      <c r="A1534" s="167" t="s">
        <v>2842</v>
      </c>
      <c r="B1534" s="167" t="str">
        <f>IFERROR(__xludf.DUMMYFUNCTION("GOOGLEFINANCE(A1534,""Name"")"),"The Sherwin-Williams Co Bdr")</f>
        <v>The Sherwin-Williams Co Bdr</v>
      </c>
      <c r="C1534" s="167" t="s">
        <v>54</v>
      </c>
      <c r="D1534" s="167" t="s">
        <v>2843</v>
      </c>
      <c r="E1534" s="167" t="s">
        <v>54</v>
      </c>
      <c r="F1534" s="167" t="s">
        <v>240</v>
      </c>
      <c r="G1534" s="167" t="s">
        <v>2134</v>
      </c>
    </row>
    <row r="1535">
      <c r="A1535" s="167" t="s">
        <v>2844</v>
      </c>
      <c r="B1535" s="167" t="str">
        <f>IFERROR(__xludf.DUMMYFUNCTION("GOOGLEFINANCE(A1535,""Name"")"),"The Southern Co Brazilian Depositary Receipt")</f>
        <v>The Southern Co Brazilian Depositary Receipt</v>
      </c>
      <c r="C1535" s="167" t="s">
        <v>54</v>
      </c>
      <c r="D1535" s="167" t="s">
        <v>2153</v>
      </c>
      <c r="E1535" s="167" t="s">
        <v>54</v>
      </c>
      <c r="F1535" s="167" t="s">
        <v>240</v>
      </c>
      <c r="G1535" s="167" t="s">
        <v>2134</v>
      </c>
    </row>
    <row r="1536">
      <c r="A1536" s="167" t="s">
        <v>2845</v>
      </c>
      <c r="B1536" s="167" t="str">
        <f>IFERROR(__xludf.DUMMYFUNCTION("GOOGLEFINANCE(A1536,""Name"")"),"Thermo Fisher Scientific BDR")</f>
        <v>Thermo Fisher Scientific BDR</v>
      </c>
      <c r="C1536" s="167" t="s">
        <v>54</v>
      </c>
      <c r="D1536" s="167" t="s">
        <v>2846</v>
      </c>
      <c r="E1536" s="167" t="s">
        <v>54</v>
      </c>
      <c r="F1536" s="167" t="s">
        <v>240</v>
      </c>
      <c r="G1536" s="167" t="s">
        <v>2134</v>
      </c>
    </row>
    <row r="1537">
      <c r="A1537" s="167" t="s">
        <v>2847</v>
      </c>
      <c r="B1537" s="167" t="str">
        <f>IFERROR(__xludf.DUMMYFUNCTION("GOOGLEFINANCE(A1537,""Name"")"),"TJX Companies Inc BDR")</f>
        <v>TJX Companies Inc BDR</v>
      </c>
      <c r="C1537" s="167" t="s">
        <v>54</v>
      </c>
      <c r="D1537" s="167" t="s">
        <v>2848</v>
      </c>
      <c r="E1537" s="167" t="s">
        <v>54</v>
      </c>
      <c r="F1537" s="167" t="s">
        <v>240</v>
      </c>
      <c r="G1537" s="167" t="s">
        <v>2134</v>
      </c>
    </row>
    <row r="1538">
      <c r="A1538" s="167" t="s">
        <v>2849</v>
      </c>
      <c r="B1538" s="167" t="str">
        <f>IFERROR(__xludf.DUMMYFUNCTION("GOOGLEFINANCE(A1538,""Name"")"),"T-Mobile Us Inc Brazilian Depositary Receipt")</f>
        <v>T-Mobile Us Inc Brazilian Depositary Receipt</v>
      </c>
      <c r="C1538" s="167" t="s">
        <v>54</v>
      </c>
      <c r="D1538" s="167" t="s">
        <v>733</v>
      </c>
      <c r="E1538" s="167" t="s">
        <v>54</v>
      </c>
      <c r="F1538" s="167" t="s">
        <v>240</v>
      </c>
      <c r="G1538" s="167" t="s">
        <v>2134</v>
      </c>
    </row>
    <row r="1539">
      <c r="A1539" s="167" t="s">
        <v>2850</v>
      </c>
      <c r="B1539" s="167" t="str">
        <f>IFERROR(__xludf.DUMMYFUNCTION("GOOGLEFINANCE(A1539,""Name"")"),"Toyota Motor Corp Bdr")</f>
        <v>Toyota Motor Corp Bdr</v>
      </c>
      <c r="C1539" s="167" t="s">
        <v>54</v>
      </c>
      <c r="D1539" s="167" t="s">
        <v>2276</v>
      </c>
      <c r="E1539" s="167" t="s">
        <v>54</v>
      </c>
      <c r="F1539" s="167" t="s">
        <v>2297</v>
      </c>
      <c r="G1539" s="167" t="s">
        <v>2134</v>
      </c>
    </row>
    <row r="1540">
      <c r="A1540" s="167" t="s">
        <v>2851</v>
      </c>
      <c r="B1540" s="167" t="str">
        <f>IFERROR(__xludf.DUMMYFUNCTION("GOOGLEFINANCE(A1540,""Name"")"),"Tractor Supply Co Bdr")</f>
        <v>Tractor Supply Co Bdr</v>
      </c>
      <c r="C1540" s="167" t="s">
        <v>54</v>
      </c>
      <c r="D1540" s="167" t="s">
        <v>2852</v>
      </c>
      <c r="E1540" s="167" t="s">
        <v>54</v>
      </c>
      <c r="F1540" s="167" t="s">
        <v>240</v>
      </c>
      <c r="G1540" s="167" t="s">
        <v>2134</v>
      </c>
    </row>
    <row r="1541">
      <c r="A1541" s="167" t="s">
        <v>2853</v>
      </c>
      <c r="B1541" s="167" t="str">
        <f>IFERROR(__xludf.DUMMYFUNCTION("GOOGLEFINANCE(A1541,""Name"")"),"Transdigm Group Inc Bdr")</f>
        <v>Transdigm Group Inc Bdr</v>
      </c>
      <c r="C1541" s="167" t="s">
        <v>54</v>
      </c>
      <c r="D1541" s="167" t="s">
        <v>2854</v>
      </c>
      <c r="E1541" s="167" t="s">
        <v>54</v>
      </c>
      <c r="F1541" s="167" t="s">
        <v>240</v>
      </c>
      <c r="G1541" s="167" t="s">
        <v>2134</v>
      </c>
    </row>
    <row r="1542">
      <c r="A1542" s="167" t="s">
        <v>2855</v>
      </c>
      <c r="B1542" s="167" t="str">
        <f>IFERROR(__xludf.DUMMYFUNCTION("GOOGLEFINANCE(A1542,""Name"")"),"Transocean Ltd BDR")</f>
        <v>Transocean Ltd BDR</v>
      </c>
      <c r="C1542" s="167" t="s">
        <v>54</v>
      </c>
      <c r="D1542" s="167" t="s">
        <v>129</v>
      </c>
      <c r="E1542" s="167" t="s">
        <v>54</v>
      </c>
      <c r="F1542" s="167" t="s">
        <v>240</v>
      </c>
      <c r="G1542" s="167" t="s">
        <v>2134</v>
      </c>
    </row>
    <row r="1543">
      <c r="A1543" s="167" t="s">
        <v>2856</v>
      </c>
      <c r="B1543" s="167" t="str">
        <f>IFERROR(__xludf.DUMMYFUNCTION("GOOGLEFINANCE(A1543,""Name"")"),"The Travelers Companies BDR")</f>
        <v>The Travelers Companies BDR</v>
      </c>
      <c r="C1543" s="167" t="s">
        <v>54</v>
      </c>
      <c r="D1543" s="167" t="s">
        <v>254</v>
      </c>
      <c r="E1543" s="167" t="s">
        <v>54</v>
      </c>
      <c r="F1543" s="167" t="s">
        <v>240</v>
      </c>
      <c r="G1543" s="167" t="s">
        <v>2134</v>
      </c>
    </row>
    <row r="1544">
      <c r="A1544" s="167" t="s">
        <v>2857</v>
      </c>
      <c r="B1544" s="167" t="str">
        <f>IFERROR(__xludf.DUMMYFUNCTION("GOOGLEFINANCE(A1544,""Name"")"),"Tripadvisor Inc Bdr")</f>
        <v>Tripadvisor Inc Bdr</v>
      </c>
      <c r="C1544" s="167" t="s">
        <v>54</v>
      </c>
      <c r="D1544" s="167" t="s">
        <v>2858</v>
      </c>
      <c r="E1544" s="167" t="s">
        <v>54</v>
      </c>
      <c r="F1544" s="167" t="s">
        <v>240</v>
      </c>
      <c r="G1544" s="167" t="s">
        <v>2134</v>
      </c>
    </row>
    <row r="1545">
      <c r="A1545" s="167" t="s">
        <v>2859</v>
      </c>
      <c r="B1545" s="167" t="str">
        <f>IFERROR(__xludf.DUMMYFUNCTION("GOOGLEFINANCE(A1545,""Name"")"),"Twilio Bdr")</f>
        <v>Twilio Bdr</v>
      </c>
      <c r="C1545" s="167" t="s">
        <v>54</v>
      </c>
      <c r="D1545" s="167" t="s">
        <v>2145</v>
      </c>
      <c r="E1545" s="167" t="s">
        <v>54</v>
      </c>
      <c r="F1545" s="167" t="s">
        <v>240</v>
      </c>
      <c r="G1545" s="167" t="s">
        <v>2134</v>
      </c>
    </row>
    <row r="1546">
      <c r="A1546" s="167" t="s">
        <v>2860</v>
      </c>
      <c r="B1546" s="167" t="str">
        <f>IFERROR(__xludf.DUMMYFUNCTION("GOOGLEFINANCE(A1546,""Name"")"),"#N/A")</f>
        <v>#N/A</v>
      </c>
      <c r="C1546" s="167" t="s">
        <v>54</v>
      </c>
      <c r="D1546" s="167" t="s">
        <v>2145</v>
      </c>
      <c r="E1546" s="167" t="s">
        <v>54</v>
      </c>
      <c r="F1546" s="167" t="s">
        <v>240</v>
      </c>
      <c r="G1546" s="167" t="s">
        <v>2134</v>
      </c>
    </row>
    <row r="1547">
      <c r="A1547" s="167" t="s">
        <v>2861</v>
      </c>
      <c r="B1547" s="167" t="str">
        <f>IFERROR(__xludf.DUMMYFUNCTION("GOOGLEFINANCE(A1547,""Name"")"),"Tyson Foods Inc BDR")</f>
        <v>Tyson Foods Inc BDR</v>
      </c>
      <c r="C1547" s="167" t="s">
        <v>54</v>
      </c>
      <c r="D1547" s="167" t="s">
        <v>2862</v>
      </c>
      <c r="E1547" s="167" t="s">
        <v>54</v>
      </c>
      <c r="F1547" s="167" t="s">
        <v>240</v>
      </c>
      <c r="G1547" s="167" t="s">
        <v>2134</v>
      </c>
    </row>
    <row r="1548">
      <c r="A1548" s="167" t="s">
        <v>2863</v>
      </c>
      <c r="B1548" s="167" t="str">
        <f>IFERROR(__xludf.DUMMYFUNCTION("GOOGLEFINANCE(A1548,""Name"")"),"Uber Technologies Inc Brazilian Depositary Receipt")</f>
        <v>Uber Technologies Inc Brazilian Depositary Receipt</v>
      </c>
      <c r="C1548" s="167" t="s">
        <v>54</v>
      </c>
      <c r="D1548" s="167" t="s">
        <v>360</v>
      </c>
      <c r="E1548" s="167" t="s">
        <v>54</v>
      </c>
      <c r="F1548" s="167" t="s">
        <v>240</v>
      </c>
      <c r="G1548" s="167" t="s">
        <v>2134</v>
      </c>
    </row>
    <row r="1549">
      <c r="A1549" s="167" t="s">
        <v>2864</v>
      </c>
      <c r="B1549" s="167" t="str">
        <f>IFERROR(__xludf.DUMMYFUNCTION("GOOGLEFINANCE(A1549,""Name"")"),"Ubs Group Ag BDR")</f>
        <v>Ubs Group Ag BDR</v>
      </c>
      <c r="C1549" s="167" t="s">
        <v>54</v>
      </c>
      <c r="D1549" s="167" t="s">
        <v>876</v>
      </c>
      <c r="E1549" s="167" t="s">
        <v>54</v>
      </c>
      <c r="F1549" s="167" t="s">
        <v>240</v>
      </c>
      <c r="G1549" s="167" t="s">
        <v>2134</v>
      </c>
    </row>
    <row r="1550">
      <c r="A1550" s="167" t="s">
        <v>2865</v>
      </c>
      <c r="B1550" s="167" t="str">
        <f>IFERROR(__xludf.DUMMYFUNCTION("GOOGLEFINANCE(A1550,""Name"")"),"Udr Inc Bdr")</f>
        <v>Udr Inc Bdr</v>
      </c>
      <c r="C1550" s="167" t="s">
        <v>54</v>
      </c>
      <c r="D1550" s="167" t="s">
        <v>2163</v>
      </c>
      <c r="E1550" s="167" t="s">
        <v>54</v>
      </c>
      <c r="F1550" s="167" t="s">
        <v>240</v>
      </c>
      <c r="G1550" s="167" t="s">
        <v>2134</v>
      </c>
    </row>
    <row r="1551">
      <c r="A1551" s="167" t="s">
        <v>2866</v>
      </c>
      <c r="B1551" s="167" t="str">
        <f>IFERROR(__xludf.DUMMYFUNCTION("GOOGLEFINANCE(A1551,""Name"")"),"Ulta Beauty Inc Bdr")</f>
        <v>Ulta Beauty Inc Bdr</v>
      </c>
      <c r="C1551" s="167" t="s">
        <v>54</v>
      </c>
      <c r="D1551" s="167" t="s">
        <v>2867</v>
      </c>
      <c r="E1551" s="167" t="s">
        <v>54</v>
      </c>
      <c r="F1551" s="167" t="s">
        <v>240</v>
      </c>
      <c r="G1551" s="167" t="s">
        <v>2134</v>
      </c>
    </row>
    <row r="1552">
      <c r="A1552" s="167" t="s">
        <v>2868</v>
      </c>
      <c r="B1552" s="167" t="str">
        <f>IFERROR(__xludf.DUMMYFUNCTION("GOOGLEFINANCE(A1552,""Name"")"),"Under Armour Inc Bdr")</f>
        <v>Under Armour Inc Bdr</v>
      </c>
      <c r="C1552" s="167" t="s">
        <v>54</v>
      </c>
      <c r="D1552" s="167" t="s">
        <v>2752</v>
      </c>
      <c r="E1552" s="167" t="s">
        <v>54</v>
      </c>
      <c r="F1552" s="167" t="s">
        <v>240</v>
      </c>
      <c r="G1552" s="167" t="s">
        <v>2134</v>
      </c>
    </row>
    <row r="1553">
      <c r="A1553" s="167" t="s">
        <v>2869</v>
      </c>
      <c r="B1553" s="167" t="str">
        <f>IFERROR(__xludf.DUMMYFUNCTION("GOOGLEFINANCE(A1553,""Name"")"),"Unilever Plc Bdr")</f>
        <v>Unilever Plc Bdr</v>
      </c>
      <c r="C1553" s="167" t="s">
        <v>54</v>
      </c>
      <c r="D1553" s="167" t="s">
        <v>2870</v>
      </c>
      <c r="E1553" s="167" t="s">
        <v>54</v>
      </c>
      <c r="F1553" s="167" t="s">
        <v>2183</v>
      </c>
      <c r="G1553" s="167" t="s">
        <v>2134</v>
      </c>
    </row>
    <row r="1554">
      <c r="A1554" s="167" t="s">
        <v>2871</v>
      </c>
      <c r="B1554" s="167" t="str">
        <f>IFERROR(__xludf.DUMMYFUNCTION("GOOGLEFINANCE(A1554,""Name"")"),"#N/A")</f>
        <v>#N/A</v>
      </c>
      <c r="C1554" s="167" t="s">
        <v>54</v>
      </c>
      <c r="D1554" s="167" t="s">
        <v>2872</v>
      </c>
      <c r="E1554" s="167" t="s">
        <v>54</v>
      </c>
      <c r="F1554" s="167" t="s">
        <v>2183</v>
      </c>
      <c r="G1554" s="167" t="s">
        <v>2134</v>
      </c>
    </row>
    <row r="1555">
      <c r="A1555" s="167" t="s">
        <v>2873</v>
      </c>
      <c r="B1555" s="167" t="str">
        <f>IFERROR(__xludf.DUMMYFUNCTION("GOOGLEFINANCE(A1555,""Name"")"),"Union Pacific Corporation Bdr")</f>
        <v>Union Pacific Corporation Bdr</v>
      </c>
      <c r="C1555" s="167" t="s">
        <v>54</v>
      </c>
      <c r="D1555" s="167" t="s">
        <v>2138</v>
      </c>
      <c r="E1555" s="167" t="s">
        <v>54</v>
      </c>
      <c r="F1555" s="167" t="s">
        <v>240</v>
      </c>
      <c r="G1555" s="167" t="s">
        <v>2134</v>
      </c>
    </row>
    <row r="1556">
      <c r="A1556" s="167" t="s">
        <v>2874</v>
      </c>
      <c r="B1556" s="167" t="str">
        <f>IFERROR(__xludf.DUMMYFUNCTION("GOOGLEFINANCE(A1556,""Name"")"),"United Airlines Holdings Inc Brazilian Depositary Receipt")</f>
        <v>United Airlines Holdings Inc Brazilian Depositary Receipt</v>
      </c>
      <c r="C1556" s="167" t="s">
        <v>54</v>
      </c>
      <c r="D1556" s="167" t="s">
        <v>2801</v>
      </c>
      <c r="E1556" s="167" t="s">
        <v>54</v>
      </c>
      <c r="F1556" s="167" t="s">
        <v>240</v>
      </c>
      <c r="G1556" s="167" t="s">
        <v>2134</v>
      </c>
    </row>
    <row r="1557">
      <c r="A1557" s="167" t="s">
        <v>2875</v>
      </c>
      <c r="B1557" s="167" t="str">
        <f>IFERROR(__xludf.DUMMYFUNCTION("GOOGLEFINANCE(A1557,""Name"")"),"United Rentals Inc Bdr")</f>
        <v>United Rentals Inc Bdr</v>
      </c>
      <c r="C1557" s="167" t="s">
        <v>54</v>
      </c>
      <c r="D1557" s="167" t="s">
        <v>2876</v>
      </c>
      <c r="E1557" s="167" t="s">
        <v>54</v>
      </c>
      <c r="F1557" s="167" t="s">
        <v>240</v>
      </c>
      <c r="G1557" s="167" t="s">
        <v>2134</v>
      </c>
    </row>
    <row r="1558">
      <c r="A1558" s="167" t="s">
        <v>2877</v>
      </c>
      <c r="B1558" s="167" t="str">
        <f>IFERROR(__xludf.DUMMYFUNCTION("GOOGLEFINANCE(A1558,""Name"")"),"Unitedhealth Group Inc BDR")</f>
        <v>Unitedhealth Group Inc BDR</v>
      </c>
      <c r="C1558" s="167" t="s">
        <v>54</v>
      </c>
      <c r="D1558" s="167" t="s">
        <v>2758</v>
      </c>
      <c r="E1558" s="167" t="s">
        <v>54</v>
      </c>
      <c r="F1558" s="167" t="s">
        <v>240</v>
      </c>
      <c r="G1558" s="167" t="s">
        <v>2134</v>
      </c>
    </row>
    <row r="1559">
      <c r="A1559" s="167" t="s">
        <v>2878</v>
      </c>
      <c r="B1559" s="167" t="str">
        <f>IFERROR(__xludf.DUMMYFUNCTION("GOOGLEFINANCE(A1559,""Name"")"),"Universal Health Services Inc Bdr")</f>
        <v>Universal Health Services Inc Bdr</v>
      </c>
      <c r="C1559" s="167" t="s">
        <v>54</v>
      </c>
      <c r="D1559" s="167" t="s">
        <v>675</v>
      </c>
      <c r="E1559" s="167" t="s">
        <v>54</v>
      </c>
      <c r="F1559" s="167" t="s">
        <v>240</v>
      </c>
      <c r="G1559" s="167" t="s">
        <v>2134</v>
      </c>
    </row>
    <row r="1560">
      <c r="A1560" s="167" t="s">
        <v>2879</v>
      </c>
      <c r="B1560" s="167" t="str">
        <f>IFERROR(__xludf.DUMMYFUNCTION("GOOGLEFINANCE(A1560,""Name"")"),"Unum Group Bdr")</f>
        <v>Unum Group Bdr</v>
      </c>
      <c r="C1560" s="167" t="s">
        <v>54</v>
      </c>
      <c r="D1560" s="167" t="s">
        <v>2155</v>
      </c>
      <c r="E1560" s="167" t="s">
        <v>54</v>
      </c>
      <c r="F1560" s="167" t="s">
        <v>240</v>
      </c>
      <c r="G1560" s="167" t="s">
        <v>2134</v>
      </c>
    </row>
    <row r="1561">
      <c r="A1561" s="167" t="s">
        <v>2880</v>
      </c>
      <c r="B1561" s="167" t="str">
        <f>IFERROR(__xludf.DUMMYFUNCTION("GOOGLEFINANCE(A1561,""Name"")"),"United Parcel Service BDR")</f>
        <v>United Parcel Service BDR</v>
      </c>
      <c r="C1561" s="167" t="s">
        <v>54</v>
      </c>
      <c r="D1561" s="167" t="s">
        <v>2881</v>
      </c>
      <c r="E1561" s="167" t="s">
        <v>54</v>
      </c>
      <c r="F1561" s="167" t="s">
        <v>240</v>
      </c>
      <c r="G1561" s="167" t="s">
        <v>2134</v>
      </c>
    </row>
    <row r="1562">
      <c r="A1562" s="167" t="s">
        <v>2882</v>
      </c>
      <c r="B1562" s="167" t="str">
        <f>IFERROR(__xludf.DUMMYFUNCTION("GOOGLEFINANCE(A1562,""Name"")"),"#N/A")</f>
        <v>#N/A</v>
      </c>
      <c r="C1562" s="167" t="s">
        <v>54</v>
      </c>
      <c r="D1562" s="167" t="s">
        <v>173</v>
      </c>
      <c r="E1562" s="167" t="s">
        <v>54</v>
      </c>
      <c r="F1562" s="167" t="s">
        <v>240</v>
      </c>
      <c r="G1562" s="167" t="s">
        <v>2134</v>
      </c>
    </row>
    <row r="1563">
      <c r="A1563" s="167" t="s">
        <v>2883</v>
      </c>
      <c r="B1563" s="167" t="str">
        <f>IFERROR(__xludf.DUMMYFUNCTION("GOOGLEFINANCE(A1563,""Name"")"),"Valero Energy Corporation BDR")</f>
        <v>Valero Energy Corporation BDR</v>
      </c>
      <c r="C1563" s="167" t="s">
        <v>54</v>
      </c>
      <c r="D1563" s="167" t="s">
        <v>129</v>
      </c>
      <c r="E1563" s="167" t="s">
        <v>54</v>
      </c>
      <c r="F1563" s="167" t="s">
        <v>240</v>
      </c>
      <c r="G1563" s="167" t="s">
        <v>2134</v>
      </c>
    </row>
    <row r="1564">
      <c r="A1564" s="167" t="s">
        <v>2884</v>
      </c>
      <c r="B1564" s="167" t="str">
        <f>IFERROR(__xludf.DUMMYFUNCTION("GOOGLEFINANCE(A1564,""Name"")"),"Valley National Bancorp BDR")</f>
        <v>Valley National Bancorp BDR</v>
      </c>
      <c r="C1564" s="167" t="s">
        <v>54</v>
      </c>
      <c r="D1564" s="167" t="s">
        <v>2194</v>
      </c>
      <c r="E1564" s="167" t="s">
        <v>54</v>
      </c>
      <c r="F1564" s="167" t="s">
        <v>240</v>
      </c>
      <c r="G1564" s="167" t="s">
        <v>2134</v>
      </c>
    </row>
    <row r="1565">
      <c r="A1565" s="167" t="s">
        <v>2885</v>
      </c>
      <c r="B1565" s="167" t="str">
        <f>IFERROR(__xludf.DUMMYFUNCTION("GOOGLEFINANCE(A1565,""Name"")"),"#N/A")</f>
        <v>#N/A</v>
      </c>
      <c r="C1565" s="167" t="s">
        <v>54</v>
      </c>
      <c r="D1565" s="167" t="s">
        <v>2145</v>
      </c>
      <c r="E1565" s="167" t="s">
        <v>54</v>
      </c>
      <c r="F1565" s="167" t="s">
        <v>240</v>
      </c>
      <c r="G1565" s="167" t="s">
        <v>2134</v>
      </c>
    </row>
    <row r="1566">
      <c r="A1566" s="167" t="s">
        <v>2886</v>
      </c>
      <c r="B1566" s="167" t="str">
        <f>IFERROR(__xludf.DUMMYFUNCTION("GOOGLEFINANCE(A1566,""Name"")"),"Ventas Inc Bdr")</f>
        <v>Ventas Inc Bdr</v>
      </c>
      <c r="C1566" s="167" t="s">
        <v>54</v>
      </c>
      <c r="D1566" s="167" t="s">
        <v>2163</v>
      </c>
      <c r="E1566" s="167" t="s">
        <v>54</v>
      </c>
      <c r="F1566" s="167" t="s">
        <v>240</v>
      </c>
      <c r="G1566" s="167" t="s">
        <v>2134</v>
      </c>
    </row>
    <row r="1567">
      <c r="A1567" s="167" t="s">
        <v>2887</v>
      </c>
      <c r="B1567" s="167" t="str">
        <f>IFERROR(__xludf.DUMMYFUNCTION("GOOGLEFINANCE(A1567,""Name"")"),"Verisign Inc BDR")</f>
        <v>Verisign Inc BDR</v>
      </c>
      <c r="C1567" s="167" t="s">
        <v>54</v>
      </c>
      <c r="D1567" s="167" t="s">
        <v>2186</v>
      </c>
      <c r="E1567" s="167" t="s">
        <v>54</v>
      </c>
      <c r="F1567" s="167" t="s">
        <v>240</v>
      </c>
      <c r="G1567" s="167" t="s">
        <v>2134</v>
      </c>
    </row>
    <row r="1568">
      <c r="A1568" s="167" t="s">
        <v>2888</v>
      </c>
      <c r="B1568" s="167" t="str">
        <f>IFERROR(__xludf.DUMMYFUNCTION("GOOGLEFINANCE(A1568,""Name"")"),"Verisk Analytics Inc Bdr")</f>
        <v>Verisk Analytics Inc Bdr</v>
      </c>
      <c r="C1568" s="167" t="s">
        <v>54</v>
      </c>
      <c r="D1568" s="167" t="s">
        <v>2480</v>
      </c>
      <c r="E1568" s="167" t="s">
        <v>54</v>
      </c>
      <c r="F1568" s="167" t="s">
        <v>240</v>
      </c>
      <c r="G1568" s="167" t="s">
        <v>2134</v>
      </c>
    </row>
    <row r="1569">
      <c r="A1569" s="167" t="s">
        <v>2889</v>
      </c>
      <c r="B1569" s="167" t="str">
        <f>IFERROR(__xludf.DUMMYFUNCTION("GOOGLEFINANCE(A1569,""Name"")"),"Verizon Communications Inc. BDR")</f>
        <v>Verizon Communications Inc. BDR</v>
      </c>
      <c r="C1569" s="167" t="s">
        <v>54</v>
      </c>
      <c r="D1569" s="167" t="s">
        <v>733</v>
      </c>
      <c r="E1569" s="167" t="s">
        <v>54</v>
      </c>
      <c r="F1569" s="167" t="s">
        <v>240</v>
      </c>
      <c r="G1569" s="167" t="s">
        <v>2134</v>
      </c>
    </row>
    <row r="1570">
      <c r="A1570" s="167" t="s">
        <v>2890</v>
      </c>
      <c r="B1570" s="167" t="str">
        <f>IFERROR(__xludf.DUMMYFUNCTION("GOOGLEFINANCE(A1570,""Name"")"),"Vertex Pharmaceuticals Inc BDR")</f>
        <v>Vertex Pharmaceuticals Inc BDR</v>
      </c>
      <c r="C1570" s="167" t="s">
        <v>54</v>
      </c>
      <c r="D1570" s="167" t="s">
        <v>2891</v>
      </c>
      <c r="E1570" s="167" t="s">
        <v>54</v>
      </c>
      <c r="F1570" s="167" t="s">
        <v>240</v>
      </c>
      <c r="G1570" s="167" t="s">
        <v>2134</v>
      </c>
    </row>
    <row r="1571">
      <c r="A1571" s="167" t="s">
        <v>2892</v>
      </c>
      <c r="B1571" s="167" t="str">
        <f>IFERROR(__xludf.DUMMYFUNCTION("GOOGLEFINANCE(A1571,""Name"")"),"VF Corp BDR")</f>
        <v>VF Corp BDR</v>
      </c>
      <c r="C1571" s="167" t="s">
        <v>54</v>
      </c>
      <c r="D1571" s="167" t="s">
        <v>2307</v>
      </c>
      <c r="E1571" s="167" t="s">
        <v>54</v>
      </c>
      <c r="F1571" s="167" t="s">
        <v>240</v>
      </c>
      <c r="G1571" s="167" t="s">
        <v>2134</v>
      </c>
    </row>
    <row r="1572">
      <c r="A1572" s="167" t="s">
        <v>2893</v>
      </c>
      <c r="B1572" s="167" t="str">
        <f>IFERROR(__xludf.DUMMYFUNCTION("GOOGLEFINANCE(A1572,""Name"")"),"Vipshop Holdings Bdr")</f>
        <v>Vipshop Holdings Bdr</v>
      </c>
      <c r="C1572" s="167" t="s">
        <v>54</v>
      </c>
      <c r="D1572" s="167" t="s">
        <v>2894</v>
      </c>
      <c r="E1572" s="167" t="s">
        <v>54</v>
      </c>
      <c r="F1572" s="167" t="s">
        <v>2167</v>
      </c>
      <c r="G1572" s="167" t="s">
        <v>2134</v>
      </c>
    </row>
    <row r="1573">
      <c r="A1573" s="167" t="s">
        <v>2895</v>
      </c>
      <c r="B1573" s="167" t="str">
        <f>IFERROR(__xludf.DUMMYFUNCTION("GOOGLEFINANCE(A1573,""Name"")"),"Vodafone Group Public Ltd Company Bdr")</f>
        <v>Vodafone Group Public Ltd Company Bdr</v>
      </c>
      <c r="C1573" s="167" t="s">
        <v>54</v>
      </c>
      <c r="D1573" s="167" t="s">
        <v>2186</v>
      </c>
      <c r="E1573" s="167" t="s">
        <v>54</v>
      </c>
      <c r="F1573" s="167" t="s">
        <v>2183</v>
      </c>
      <c r="G1573" s="167" t="s">
        <v>2134</v>
      </c>
    </row>
    <row r="1574">
      <c r="A1574" s="167" t="s">
        <v>2896</v>
      </c>
      <c r="B1574" s="167" t="str">
        <f>IFERROR(__xludf.DUMMYFUNCTION("GOOGLEFINANCE(A1574,""Name"")"),"Vornado Realty Trust Bdr")</f>
        <v>Vornado Realty Trust Bdr</v>
      </c>
      <c r="C1574" s="167" t="s">
        <v>54</v>
      </c>
      <c r="D1574" s="167" t="s">
        <v>2163</v>
      </c>
      <c r="E1574" s="167" t="s">
        <v>54</v>
      </c>
      <c r="F1574" s="167" t="s">
        <v>240</v>
      </c>
      <c r="G1574" s="167" t="s">
        <v>2134</v>
      </c>
    </row>
    <row r="1575">
      <c r="A1575" s="167" t="s">
        <v>2897</v>
      </c>
      <c r="B1575" s="167" t="str">
        <f>IFERROR(__xludf.DUMMYFUNCTION("GOOGLEFINANCE(A1575,""Name"")"),"Vulcan Materials Co Bdr")</f>
        <v>Vulcan Materials Co Bdr</v>
      </c>
      <c r="C1575" s="167" t="s">
        <v>54</v>
      </c>
      <c r="D1575" s="167" t="s">
        <v>2371</v>
      </c>
      <c r="E1575" s="167" t="s">
        <v>54</v>
      </c>
      <c r="F1575" s="167" t="s">
        <v>240</v>
      </c>
      <c r="G1575" s="167" t="s">
        <v>2134</v>
      </c>
    </row>
    <row r="1576">
      <c r="A1576" s="167" t="s">
        <v>2898</v>
      </c>
      <c r="B1576" s="167" t="str">
        <f>IFERROR(__xludf.DUMMYFUNCTION("GOOGLEFINANCE(A1576,""Name"")"),"Wabtec Corp Bdr")</f>
        <v>Wabtec Corp Bdr</v>
      </c>
      <c r="C1576" s="167" t="s">
        <v>54</v>
      </c>
      <c r="D1576" s="167" t="s">
        <v>2899</v>
      </c>
      <c r="E1576" s="167" t="s">
        <v>54</v>
      </c>
      <c r="F1576" s="167" t="s">
        <v>240</v>
      </c>
      <c r="G1576" s="167" t="s">
        <v>2134</v>
      </c>
    </row>
    <row r="1577">
      <c r="A1577" s="167" t="s">
        <v>2900</v>
      </c>
      <c r="B1577" s="167" t="str">
        <f>IFERROR(__xludf.DUMMYFUNCTION("GOOGLEFINANCE(A1577,""Name"")"),"Wal Mart Stores BDR")</f>
        <v>Wal Mart Stores BDR</v>
      </c>
      <c r="C1577" s="167" t="s">
        <v>54</v>
      </c>
      <c r="D1577" s="167" t="s">
        <v>2901</v>
      </c>
      <c r="E1577" s="167" t="s">
        <v>54</v>
      </c>
      <c r="F1577" s="167" t="s">
        <v>240</v>
      </c>
      <c r="G1577" s="167" t="s">
        <v>2134</v>
      </c>
    </row>
    <row r="1578">
      <c r="A1578" s="167" t="s">
        <v>2902</v>
      </c>
      <c r="B1578" s="167" t="str">
        <f>IFERROR(__xludf.DUMMYFUNCTION("GOOGLEFINANCE(A1578,""Name"")"),"#N/A")</f>
        <v>#N/A</v>
      </c>
      <c r="C1578" s="167" t="s">
        <v>54</v>
      </c>
      <c r="D1578" s="167" t="s">
        <v>2218</v>
      </c>
      <c r="E1578" s="167" t="s">
        <v>54</v>
      </c>
      <c r="F1578" s="167" t="s">
        <v>240</v>
      </c>
      <c r="G1578" s="167" t="s">
        <v>2134</v>
      </c>
    </row>
    <row r="1579">
      <c r="A1579" s="167" t="s">
        <v>2903</v>
      </c>
      <c r="B1579" s="167" t="str">
        <f>IFERROR(__xludf.DUMMYFUNCTION("GOOGLEFINANCE(A1579,""Name"")"),"Warner Music Group Corporation Bdr")</f>
        <v>Warner Music Group Corporation Bdr</v>
      </c>
      <c r="C1579" s="167" t="s">
        <v>54</v>
      </c>
      <c r="D1579" s="167" t="s">
        <v>2904</v>
      </c>
      <c r="E1579" s="167" t="s">
        <v>54</v>
      </c>
      <c r="F1579" s="167" t="s">
        <v>240</v>
      </c>
      <c r="G1579" s="167" t="s">
        <v>2134</v>
      </c>
    </row>
    <row r="1580">
      <c r="A1580" s="167" t="s">
        <v>2905</v>
      </c>
      <c r="B1580" s="167" t="str">
        <f>IFERROR(__xludf.DUMMYFUNCTION("GOOGLEFINANCE(A1580,""Name"")"),"Waste Management Inc Brazilian Depositary Receipt")</f>
        <v>Waste Management Inc Brazilian Depositary Receipt</v>
      </c>
      <c r="C1580" s="167" t="s">
        <v>54</v>
      </c>
      <c r="D1580" s="167" t="s">
        <v>2906</v>
      </c>
      <c r="E1580" s="167" t="s">
        <v>54</v>
      </c>
      <c r="F1580" s="167" t="s">
        <v>240</v>
      </c>
      <c r="G1580" s="167" t="s">
        <v>2134</v>
      </c>
    </row>
    <row r="1581">
      <c r="A1581" s="167" t="s">
        <v>2907</v>
      </c>
      <c r="B1581" s="167" t="str">
        <f>IFERROR(__xludf.DUMMYFUNCTION("GOOGLEFINANCE(A1581,""Name"")"),"Waters Corp BDR")</f>
        <v>Waters Corp BDR</v>
      </c>
      <c r="C1581" s="167" t="s">
        <v>54</v>
      </c>
      <c r="D1581" s="167" t="s">
        <v>2138</v>
      </c>
      <c r="E1581" s="167" t="s">
        <v>54</v>
      </c>
      <c r="F1581" s="167" t="s">
        <v>240</v>
      </c>
      <c r="G1581" s="167" t="s">
        <v>2134</v>
      </c>
    </row>
    <row r="1582">
      <c r="A1582" s="167" t="s">
        <v>2908</v>
      </c>
      <c r="B1582" s="167" t="str">
        <f>IFERROR(__xludf.DUMMYFUNCTION("GOOGLEFINANCE(A1582,""Name"")"),"Watsco Inc Bdr")</f>
        <v>Watsco Inc Bdr</v>
      </c>
      <c r="C1582" s="167" t="s">
        <v>54</v>
      </c>
      <c r="D1582" s="167" t="s">
        <v>2909</v>
      </c>
      <c r="E1582" s="167" t="s">
        <v>54</v>
      </c>
      <c r="F1582" s="167" t="s">
        <v>240</v>
      </c>
      <c r="G1582" s="167" t="s">
        <v>2134</v>
      </c>
    </row>
    <row r="1583">
      <c r="A1583" s="167" t="s">
        <v>2910</v>
      </c>
      <c r="B1583" s="167" t="str">
        <f>IFERROR(__xludf.DUMMYFUNCTION("GOOGLEFINANCE(A1583,""Name"")"),"Wec Energy Group Inc Bdr")</f>
        <v>Wec Energy Group Inc Bdr</v>
      </c>
      <c r="C1583" s="167" t="s">
        <v>54</v>
      </c>
      <c r="D1583" s="167" t="s">
        <v>2153</v>
      </c>
      <c r="E1583" s="167" t="s">
        <v>54</v>
      </c>
      <c r="F1583" s="167" t="s">
        <v>240</v>
      </c>
      <c r="G1583" s="167" t="s">
        <v>2134</v>
      </c>
    </row>
    <row r="1584">
      <c r="A1584" s="167" t="s">
        <v>2911</v>
      </c>
      <c r="B1584" s="167" t="str">
        <f>IFERROR(__xludf.DUMMYFUNCTION("GOOGLEFINANCE(A1584,""Name"")"),"Weibo Corp Bdr")</f>
        <v>Weibo Corp Bdr</v>
      </c>
      <c r="C1584" s="167" t="s">
        <v>54</v>
      </c>
      <c r="D1584" s="167" t="s">
        <v>2186</v>
      </c>
      <c r="E1584" s="167" t="s">
        <v>54</v>
      </c>
      <c r="F1584" s="167" t="s">
        <v>2167</v>
      </c>
      <c r="G1584" s="167" t="s">
        <v>2134</v>
      </c>
    </row>
    <row r="1585">
      <c r="A1585" s="167" t="s">
        <v>2912</v>
      </c>
      <c r="B1585" s="167" t="str">
        <f>IFERROR(__xludf.DUMMYFUNCTION("GOOGLEFINANCE(A1585,""Name"")"),"Wells Fargo BDR")</f>
        <v>Wells Fargo BDR</v>
      </c>
      <c r="C1585" s="167" t="s">
        <v>54</v>
      </c>
      <c r="D1585" s="167" t="s">
        <v>214</v>
      </c>
      <c r="E1585" s="167" t="s">
        <v>54</v>
      </c>
      <c r="F1585" s="167" t="s">
        <v>240</v>
      </c>
      <c r="G1585" s="167" t="s">
        <v>2134</v>
      </c>
    </row>
    <row r="1586">
      <c r="A1586" s="167" t="s">
        <v>2913</v>
      </c>
      <c r="B1586" s="167" t="str">
        <f>IFERROR(__xludf.DUMMYFUNCTION("GOOGLEFINANCE(A1586,""Name"")"),"Welltower Inc Bdr")</f>
        <v>Welltower Inc Bdr</v>
      </c>
      <c r="C1586" s="167" t="s">
        <v>54</v>
      </c>
      <c r="D1586" s="167" t="s">
        <v>2163</v>
      </c>
      <c r="E1586" s="167" t="s">
        <v>54</v>
      </c>
      <c r="F1586" s="167" t="s">
        <v>240</v>
      </c>
      <c r="G1586" s="167" t="s">
        <v>2134</v>
      </c>
    </row>
    <row r="1587">
      <c r="A1587" s="167" t="s">
        <v>2914</v>
      </c>
      <c r="B1587" s="167" t="str">
        <f>IFERROR(__xludf.DUMMYFUNCTION("GOOGLEFINANCE(A1587,""Name"")"),"Western Alliance Bancorporation BDR")</f>
        <v>Western Alliance Bancorporation BDR</v>
      </c>
      <c r="C1587" s="167" t="s">
        <v>54</v>
      </c>
      <c r="D1587" s="167" t="s">
        <v>2194</v>
      </c>
      <c r="E1587" s="167" t="s">
        <v>54</v>
      </c>
      <c r="F1587" s="167" t="s">
        <v>240</v>
      </c>
      <c r="G1587" s="167" t="s">
        <v>2134</v>
      </c>
    </row>
    <row r="1588">
      <c r="A1588" s="167" t="s">
        <v>2915</v>
      </c>
      <c r="B1588" s="167" t="str">
        <f>IFERROR(__xludf.DUMMYFUNCTION("GOOGLEFINANCE(A1588,""Name"")"),"Western Digital Corp Brazilian Depositary Receipt")</f>
        <v>Western Digital Corp Brazilian Depositary Receipt</v>
      </c>
      <c r="C1588" s="167" t="s">
        <v>54</v>
      </c>
      <c r="D1588" s="167" t="s">
        <v>2145</v>
      </c>
      <c r="E1588" s="167" t="s">
        <v>54</v>
      </c>
      <c r="F1588" s="167" t="s">
        <v>240</v>
      </c>
      <c r="G1588" s="167" t="s">
        <v>2134</v>
      </c>
    </row>
    <row r="1589">
      <c r="A1589" s="167" t="s">
        <v>2916</v>
      </c>
      <c r="B1589" s="167" t="str">
        <f>IFERROR(__xludf.DUMMYFUNCTION("GOOGLEFINANCE(A1589,""Name"")"),"The Western Union Company Bdr")</f>
        <v>The Western Union Company Bdr</v>
      </c>
      <c r="C1589" s="167" t="s">
        <v>54</v>
      </c>
      <c r="D1589" s="167" t="s">
        <v>2194</v>
      </c>
      <c r="E1589" s="167" t="s">
        <v>54</v>
      </c>
      <c r="F1589" s="167" t="s">
        <v>240</v>
      </c>
      <c r="G1589" s="167" t="s">
        <v>2134</v>
      </c>
    </row>
    <row r="1590">
      <c r="A1590" s="167" t="s">
        <v>2917</v>
      </c>
      <c r="B1590" s="167" t="str">
        <f>IFERROR(__xludf.DUMMYFUNCTION("GOOGLEFINANCE(A1590,""Name"")"),"#N/A")</f>
        <v>#N/A</v>
      </c>
      <c r="C1590" s="167" t="s">
        <v>54</v>
      </c>
      <c r="D1590" s="167" t="s">
        <v>875</v>
      </c>
      <c r="E1590" s="167" t="s">
        <v>54</v>
      </c>
      <c r="F1590" s="167" t="s">
        <v>2264</v>
      </c>
      <c r="G1590" s="167" t="s">
        <v>2134</v>
      </c>
    </row>
    <row r="1591">
      <c r="A1591" s="167" t="s">
        <v>2918</v>
      </c>
      <c r="B1591" s="167" t="str">
        <f>IFERROR(__xludf.DUMMYFUNCTION("GOOGLEFINANCE(A1591,""Name"")"),"#N/A")</f>
        <v>#N/A</v>
      </c>
      <c r="C1591" s="167" t="s">
        <v>54</v>
      </c>
      <c r="D1591" s="167" t="s">
        <v>268</v>
      </c>
      <c r="E1591" s="167" t="s">
        <v>54</v>
      </c>
      <c r="F1591" s="167" t="s">
        <v>240</v>
      </c>
      <c r="G1591" s="167" t="s">
        <v>2134</v>
      </c>
    </row>
    <row r="1592">
      <c r="A1592" s="167" t="s">
        <v>2919</v>
      </c>
      <c r="B1592" s="167" t="str">
        <f>IFERROR(__xludf.DUMMYFUNCTION("GOOGLEFINANCE(A1592,""Name"")"),"Weyerhaeuser Co Bdr")</f>
        <v>Weyerhaeuser Co Bdr</v>
      </c>
      <c r="C1592" s="167" t="s">
        <v>54</v>
      </c>
      <c r="D1592" s="167" t="s">
        <v>239</v>
      </c>
      <c r="E1592" s="167" t="s">
        <v>54</v>
      </c>
      <c r="F1592" s="167" t="s">
        <v>240</v>
      </c>
      <c r="G1592" s="167" t="s">
        <v>2134</v>
      </c>
    </row>
    <row r="1593">
      <c r="A1593" s="167" t="s">
        <v>2920</v>
      </c>
      <c r="B1593" s="167" t="str">
        <f>IFERROR(__xludf.DUMMYFUNCTION("GOOGLEFINANCE(A1593,""Name"")"),"Whirlpool Corp Bdr")</f>
        <v>Whirlpool Corp Bdr</v>
      </c>
      <c r="C1593" s="167" t="s">
        <v>54</v>
      </c>
      <c r="D1593" s="167" t="s">
        <v>574</v>
      </c>
      <c r="E1593" s="167" t="s">
        <v>54</v>
      </c>
      <c r="F1593" s="167" t="s">
        <v>240</v>
      </c>
      <c r="G1593" s="167" t="s">
        <v>2134</v>
      </c>
    </row>
    <row r="1594">
      <c r="A1594" s="167" t="s">
        <v>2921</v>
      </c>
      <c r="B1594" s="167" t="str">
        <f>IFERROR(__xludf.DUMMYFUNCTION("GOOGLEFINANCE(A1594,""Name"")"),"The Williams Cos Inc Brazilian Depositary Receipt")</f>
        <v>The Williams Cos Inc Brazilian Depositary Receipt</v>
      </c>
      <c r="C1594" s="167" t="s">
        <v>54</v>
      </c>
      <c r="D1594" s="167" t="s">
        <v>2153</v>
      </c>
      <c r="E1594" s="167" t="s">
        <v>54</v>
      </c>
      <c r="F1594" s="167" t="s">
        <v>240</v>
      </c>
      <c r="G1594" s="167" t="s">
        <v>2134</v>
      </c>
    </row>
    <row r="1595">
      <c r="A1595" s="167" t="s">
        <v>2922</v>
      </c>
      <c r="B1595" s="167" t="str">
        <f>IFERROR(__xludf.DUMMYFUNCTION("GOOGLEFINANCE(A1595,""Name"")"),"Willis Towers Watson Plc Bdr")</f>
        <v>Willis Towers Watson Plc Bdr</v>
      </c>
      <c r="C1595" s="167" t="s">
        <v>54</v>
      </c>
      <c r="D1595" s="167" t="s">
        <v>2480</v>
      </c>
      <c r="E1595" s="167" t="s">
        <v>54</v>
      </c>
      <c r="F1595" s="167" t="s">
        <v>240</v>
      </c>
      <c r="G1595" s="167" t="s">
        <v>2134</v>
      </c>
    </row>
    <row r="1596">
      <c r="A1596" s="167" t="s">
        <v>2923</v>
      </c>
      <c r="B1596" s="167" t="str">
        <f>IFERROR(__xludf.DUMMYFUNCTION("GOOGLEFINANCE(A1596,""Name"")"),"Wix.com Bdr")</f>
        <v>Wix.com Bdr</v>
      </c>
      <c r="C1596" s="167" t="s">
        <v>54</v>
      </c>
      <c r="D1596" s="167" t="s">
        <v>2186</v>
      </c>
      <c r="E1596" s="167" t="s">
        <v>54</v>
      </c>
      <c r="F1596" s="167" t="s">
        <v>2682</v>
      </c>
      <c r="G1596" s="167" t="s">
        <v>2134</v>
      </c>
    </row>
    <row r="1597">
      <c r="A1597" s="167" t="s">
        <v>2924</v>
      </c>
      <c r="B1597" s="167" t="str">
        <f>IFERROR(__xludf.DUMMYFUNCTION("GOOGLEFINANCE(A1597,""Name"")"),"Workday Inc Bdr")</f>
        <v>Workday Inc Bdr</v>
      </c>
      <c r="C1597" s="167" t="s">
        <v>54</v>
      </c>
      <c r="D1597" s="167" t="s">
        <v>2145</v>
      </c>
      <c r="E1597" s="167" t="s">
        <v>54</v>
      </c>
      <c r="F1597" s="167" t="s">
        <v>240</v>
      </c>
      <c r="G1597" s="167" t="s">
        <v>2134</v>
      </c>
    </row>
    <row r="1598">
      <c r="A1598" s="167" t="s">
        <v>2925</v>
      </c>
      <c r="B1598" s="167" t="str">
        <f>IFERROR(__xludf.DUMMYFUNCTION("GOOGLEFINANCE(A1598,""Name"")"),"Wpp Plc Bdr")</f>
        <v>Wpp Plc Bdr</v>
      </c>
      <c r="C1598" s="167" t="s">
        <v>54</v>
      </c>
      <c r="D1598" s="167" t="s">
        <v>2186</v>
      </c>
      <c r="E1598" s="167" t="s">
        <v>54</v>
      </c>
      <c r="F1598" s="167" t="s">
        <v>2183</v>
      </c>
      <c r="G1598" s="167" t="s">
        <v>2134</v>
      </c>
    </row>
    <row r="1599">
      <c r="A1599" s="167" t="s">
        <v>2926</v>
      </c>
      <c r="B1599" s="167" t="str">
        <f>IFERROR(__xludf.DUMMYFUNCTION("GOOGLEFINANCE(A1599,""Name"")"),"Wr Berkley Corporation Bdr")</f>
        <v>Wr Berkley Corporation Bdr</v>
      </c>
      <c r="C1599" s="167" t="s">
        <v>54</v>
      </c>
      <c r="D1599" s="167" t="s">
        <v>875</v>
      </c>
      <c r="E1599" s="167" t="s">
        <v>54</v>
      </c>
      <c r="F1599" s="167" t="s">
        <v>240</v>
      </c>
      <c r="G1599" s="167" t="s">
        <v>2134</v>
      </c>
    </row>
    <row r="1600">
      <c r="A1600" s="167" t="s">
        <v>2927</v>
      </c>
      <c r="B1600" s="167" t="str">
        <f>IFERROR(__xludf.DUMMYFUNCTION("GOOGLEFINANCE(A1600,""Name"")"),"Ww Grainger Inc Bdr")</f>
        <v>Ww Grainger Inc Bdr</v>
      </c>
      <c r="C1600" s="167" t="s">
        <v>54</v>
      </c>
      <c r="D1600" s="167" t="s">
        <v>2317</v>
      </c>
      <c r="E1600" s="167" t="s">
        <v>54</v>
      </c>
      <c r="F1600" s="167" t="s">
        <v>240</v>
      </c>
      <c r="G1600" s="167" t="s">
        <v>2134</v>
      </c>
    </row>
    <row r="1601">
      <c r="A1601" s="167" t="s">
        <v>2928</v>
      </c>
      <c r="B1601" s="167" t="str">
        <f>IFERROR(__xludf.DUMMYFUNCTION("GOOGLEFINANCE(A1601,""Name"")"),"Wynn Resorts Ltd Brazilian Depositary Receipt")</f>
        <v>Wynn Resorts Ltd Brazilian Depositary Receipt</v>
      </c>
      <c r="C1601" s="167" t="s">
        <v>54</v>
      </c>
      <c r="D1601" s="167" t="s">
        <v>2517</v>
      </c>
      <c r="E1601" s="167" t="s">
        <v>54</v>
      </c>
      <c r="F1601" s="167" t="s">
        <v>240</v>
      </c>
      <c r="G1601" s="167" t="s">
        <v>2134</v>
      </c>
    </row>
    <row r="1602">
      <c r="A1602" s="167" t="s">
        <v>2929</v>
      </c>
      <c r="B1602" s="167" t="str">
        <f>IFERROR(__xludf.DUMMYFUNCTION("GOOGLEFINANCE(A1602,""Name"")"),"Xcel Energy Inc Brazilian Depositary Receipt")</f>
        <v>Xcel Energy Inc Brazilian Depositary Receipt</v>
      </c>
      <c r="C1602" s="167" t="s">
        <v>54</v>
      </c>
      <c r="D1602" s="167" t="s">
        <v>2153</v>
      </c>
      <c r="E1602" s="167" t="s">
        <v>54</v>
      </c>
      <c r="F1602" s="167" t="s">
        <v>240</v>
      </c>
      <c r="G1602" s="167" t="s">
        <v>2134</v>
      </c>
    </row>
    <row r="1603">
      <c r="A1603" s="167" t="s">
        <v>2930</v>
      </c>
      <c r="B1603" s="167" t="str">
        <f>IFERROR(__xludf.DUMMYFUNCTION("GOOGLEFINANCE(A1603,""Name"")"),"#N/A")</f>
        <v>#N/A</v>
      </c>
      <c r="C1603" s="167" t="s">
        <v>54</v>
      </c>
      <c r="D1603" s="167" t="s">
        <v>2145</v>
      </c>
      <c r="E1603" s="167" t="s">
        <v>54</v>
      </c>
      <c r="F1603" s="167" t="s">
        <v>240</v>
      </c>
      <c r="G1603" s="167" t="s">
        <v>2134</v>
      </c>
    </row>
    <row r="1604">
      <c r="A1604" s="167" t="s">
        <v>2931</v>
      </c>
      <c r="B1604" s="167" t="str">
        <f>IFERROR(__xludf.DUMMYFUNCTION("GOOGLEFINANCE(A1604,""Name"")"),"Xylem Inc Bdr")</f>
        <v>Xylem Inc Bdr</v>
      </c>
      <c r="C1604" s="167" t="s">
        <v>54</v>
      </c>
      <c r="D1604" s="167" t="s">
        <v>2932</v>
      </c>
      <c r="E1604" s="167" t="s">
        <v>54</v>
      </c>
      <c r="F1604" s="167" t="s">
        <v>240</v>
      </c>
      <c r="G1604" s="167" t="s">
        <v>2134</v>
      </c>
    </row>
    <row r="1605">
      <c r="A1605" s="167" t="s">
        <v>2933</v>
      </c>
      <c r="B1605" s="167" t="str">
        <f>IFERROR(__xludf.DUMMYFUNCTION("GOOGLEFINANCE(A1605,""Name"")"),"Yum Brands Inc BDR")</f>
        <v>Yum Brands Inc BDR</v>
      </c>
      <c r="C1605" s="167" t="s">
        <v>54</v>
      </c>
      <c r="D1605" s="167" t="s">
        <v>2934</v>
      </c>
      <c r="E1605" s="167" t="s">
        <v>54</v>
      </c>
      <c r="F1605" s="167" t="s">
        <v>240</v>
      </c>
      <c r="G1605" s="167" t="s">
        <v>2134</v>
      </c>
    </row>
    <row r="1606">
      <c r="A1606" s="167" t="s">
        <v>2935</v>
      </c>
      <c r="B1606" s="167" t="str">
        <f>IFERROR(__xludf.DUMMYFUNCTION("GOOGLEFINANCE(A1606,""Name"")"),"Zebra Technologies Corporation Bdr")</f>
        <v>Zebra Technologies Corporation Bdr</v>
      </c>
      <c r="C1606" s="167" t="s">
        <v>54</v>
      </c>
      <c r="D1606" s="167" t="s">
        <v>2145</v>
      </c>
      <c r="E1606" s="167" t="s">
        <v>54</v>
      </c>
      <c r="F1606" s="167" t="s">
        <v>240</v>
      </c>
      <c r="G1606" s="167" t="s">
        <v>2134</v>
      </c>
    </row>
    <row r="1607">
      <c r="A1607" s="167" t="s">
        <v>2936</v>
      </c>
      <c r="B1607" s="167" t="str">
        <f>IFERROR(__xludf.DUMMYFUNCTION("GOOGLEFINANCE(A1607,""Name"")"),"Zimmer Biomet Holdings Inc Bdr")</f>
        <v>Zimmer Biomet Holdings Inc Bdr</v>
      </c>
      <c r="C1607" s="167" t="s">
        <v>54</v>
      </c>
      <c r="D1607" s="167" t="s">
        <v>675</v>
      </c>
      <c r="E1607" s="167" t="s">
        <v>54</v>
      </c>
      <c r="F1607" s="167" t="s">
        <v>240</v>
      </c>
      <c r="G1607" s="167" t="s">
        <v>2134</v>
      </c>
    </row>
    <row r="1608">
      <c r="A1608" s="167" t="s">
        <v>2937</v>
      </c>
      <c r="B1608" s="167" t="str">
        <f>IFERROR(__xludf.DUMMYFUNCTION("GOOGLEFINANCE(A1608,""Name"")"),"Zions Bancorporation Na Brazilian Depositary Receipt")</f>
        <v>Zions Bancorporation Na Brazilian Depositary Receipt</v>
      </c>
      <c r="C1608" s="167" t="s">
        <v>54</v>
      </c>
      <c r="D1608" s="167" t="s">
        <v>2257</v>
      </c>
      <c r="E1608" s="167" t="s">
        <v>54</v>
      </c>
      <c r="F1608" s="167" t="s">
        <v>240</v>
      </c>
      <c r="G1608" s="167" t="s">
        <v>2134</v>
      </c>
    </row>
    <row r="1609">
      <c r="A1609" s="167" t="s">
        <v>2938</v>
      </c>
      <c r="B1609" s="167" t="str">
        <f>IFERROR(__xludf.DUMMYFUNCTION("GOOGLEFINANCE(A1609,""Name"")"),"Zoetis Inc Bdr")</f>
        <v>Zoetis Inc Bdr</v>
      </c>
      <c r="C1609" s="167" t="s">
        <v>54</v>
      </c>
      <c r="D1609" s="167" t="s">
        <v>2196</v>
      </c>
      <c r="E1609" s="167" t="s">
        <v>54</v>
      </c>
      <c r="F1609" s="167" t="s">
        <v>240</v>
      </c>
      <c r="G1609" s="167" t="s">
        <v>2134</v>
      </c>
    </row>
    <row r="1610">
      <c r="A1610" s="167" t="s">
        <v>2939</v>
      </c>
      <c r="B1610" s="167" t="str">
        <f>IFERROR(__xludf.DUMMYFUNCTION("GOOGLEFINANCE(A1610,""Name"")"),"Zoom Video Communications Bdr")</f>
        <v>Zoom Video Communications Bdr</v>
      </c>
      <c r="C1610" s="167" t="s">
        <v>54</v>
      </c>
      <c r="D1610" s="167" t="s">
        <v>2145</v>
      </c>
      <c r="E1610" s="167" t="s">
        <v>54</v>
      </c>
      <c r="F1610" s="167" t="s">
        <v>240</v>
      </c>
      <c r="G1610" s="167" t="s">
        <v>2134</v>
      </c>
    </row>
    <row r="1611">
      <c r="A1611" s="167" t="s">
        <v>2940</v>
      </c>
      <c r="B1611" s="167" t="str">
        <f>IFERROR(__xludf.DUMMYFUNCTION("GOOGLEFINANCE(A1611,""Name"")"),"Zto Express Cayman Bdr")</f>
        <v>Zto Express Cayman Bdr</v>
      </c>
      <c r="C1611" s="167" t="s">
        <v>54</v>
      </c>
      <c r="D1611" s="167" t="s">
        <v>2941</v>
      </c>
      <c r="E1611" s="167" t="s">
        <v>54</v>
      </c>
      <c r="F1611" s="167" t="s">
        <v>2167</v>
      </c>
      <c r="G1611" s="167" t="s">
        <v>2134</v>
      </c>
    </row>
    <row r="1612">
      <c r="A1612" s="167" t="s">
        <v>2942</v>
      </c>
      <c r="B1612" s="167" t="str">
        <f>IFERROR(__xludf.DUMMYFUNCTION("GOOGLEFINANCE(A1612,""Name"")"),"Accenture Plc Bdr")</f>
        <v>Accenture Plc Bdr</v>
      </c>
      <c r="C1612" s="167" t="s">
        <v>54</v>
      </c>
      <c r="D1612" s="167" t="s">
        <v>2145</v>
      </c>
      <c r="E1612" s="167" t="s">
        <v>54</v>
      </c>
      <c r="F1612" s="167" t="s">
        <v>240</v>
      </c>
      <c r="G1612" s="167" t="s">
        <v>2134</v>
      </c>
    </row>
    <row r="1613">
      <c r="A1613" s="167" t="s">
        <v>2943</v>
      </c>
      <c r="B1613" s="167" t="str">
        <f>IFERROR(__xludf.DUMMYFUNCTION("GOOGLEFINANCE(A1613,""Name"")"),"American International Group BDR")</f>
        <v>American International Group BDR</v>
      </c>
      <c r="C1613" s="167" t="s">
        <v>54</v>
      </c>
      <c r="D1613" s="167" t="s">
        <v>2155</v>
      </c>
      <c r="E1613" s="167" t="s">
        <v>54</v>
      </c>
      <c r="F1613" s="167" t="s">
        <v>240</v>
      </c>
      <c r="G1613" s="167" t="s">
        <v>2134</v>
      </c>
    </row>
    <row r="1614">
      <c r="A1614" s="167" t="s">
        <v>2944</v>
      </c>
      <c r="B1614" s="167" t="str">
        <f>IFERROR(__xludf.DUMMYFUNCTION("GOOGLEFINANCE(A1614,""Name"")"),"American Express Company BDR")</f>
        <v>American Express Company BDR</v>
      </c>
      <c r="C1614" s="167" t="s">
        <v>54</v>
      </c>
      <c r="D1614" s="167" t="s">
        <v>2945</v>
      </c>
      <c r="E1614" s="167" t="s">
        <v>54</v>
      </c>
      <c r="F1614" s="167" t="s">
        <v>240</v>
      </c>
      <c r="G1614" s="167" t="s">
        <v>2134</v>
      </c>
    </row>
    <row r="1615">
      <c r="A1615" s="167" t="s">
        <v>2946</v>
      </c>
      <c r="B1615" s="167" t="str">
        <f>IFERROR(__xludf.DUMMYFUNCTION("GOOGLEFINANCE(A1615,""Name"")"),"At&amp;T Inc BDR")</f>
        <v>At&amp;T Inc BDR</v>
      </c>
      <c r="C1615" s="167" t="s">
        <v>54</v>
      </c>
      <c r="D1615" s="167" t="s">
        <v>733</v>
      </c>
      <c r="E1615" s="167" t="s">
        <v>54</v>
      </c>
      <c r="F1615" s="167" t="s">
        <v>240</v>
      </c>
      <c r="G1615" s="167" t="s">
        <v>2134</v>
      </c>
    </row>
    <row r="1616">
      <c r="A1616" s="167" t="s">
        <v>2947</v>
      </c>
      <c r="B1616" s="167" t="str">
        <f>IFERROR(__xludf.DUMMYFUNCTION("GOOGLEFINANCE(A1616,""Name"")"),"Berkshire Hathaway BDR")</f>
        <v>Berkshire Hathaway BDR</v>
      </c>
      <c r="C1616" s="167" t="s">
        <v>54</v>
      </c>
      <c r="D1616" s="167" t="s">
        <v>2494</v>
      </c>
      <c r="E1616" s="167" t="s">
        <v>54</v>
      </c>
      <c r="F1616" s="167" t="s">
        <v>240</v>
      </c>
      <c r="G1616" s="167" t="s">
        <v>2134</v>
      </c>
    </row>
    <row r="1617">
      <c r="A1617" s="167" t="s">
        <v>2948</v>
      </c>
      <c r="B1617" s="167" t="str">
        <f>IFERROR(__xludf.DUMMYFUNCTION("GOOGLEFINANCE(A1617,""Name"")"),"The Bank of New York Mellon Corporation Bdr")</f>
        <v>The Bank of New York Mellon Corporation Bdr</v>
      </c>
      <c r="C1617" s="167" t="s">
        <v>54</v>
      </c>
      <c r="D1617" s="167" t="s">
        <v>2194</v>
      </c>
      <c r="E1617" s="167" t="s">
        <v>54</v>
      </c>
      <c r="F1617" s="167" t="s">
        <v>240</v>
      </c>
      <c r="G1617" s="167" t="s">
        <v>2134</v>
      </c>
    </row>
    <row r="1618">
      <c r="A1618" s="167" t="s">
        <v>2949</v>
      </c>
      <c r="B1618" s="167" t="str">
        <f>IFERROR(__xludf.DUMMYFUNCTION("GOOGLEFINANCE(A1618,""Name"")"),"The Boeing Company BDR")</f>
        <v>The Boeing Company BDR</v>
      </c>
      <c r="C1618" s="167" t="s">
        <v>54</v>
      </c>
      <c r="D1618" s="167" t="s">
        <v>2511</v>
      </c>
      <c r="E1618" s="167" t="s">
        <v>54</v>
      </c>
      <c r="F1618" s="167" t="s">
        <v>240</v>
      </c>
      <c r="G1618" s="167" t="s">
        <v>2134</v>
      </c>
    </row>
    <row r="1619">
      <c r="A1619" s="167" t="s">
        <v>2950</v>
      </c>
      <c r="B1619" s="167" t="str">
        <f>IFERROR(__xludf.DUMMYFUNCTION("GOOGLEFINANCE(A1619,""Name"")"),"Bristol-Myers Squibb Company BDR")</f>
        <v>Bristol-Myers Squibb Company BDR</v>
      </c>
      <c r="C1619" s="167" t="s">
        <v>54</v>
      </c>
      <c r="D1619" s="167" t="s">
        <v>2951</v>
      </c>
      <c r="E1619" s="167" t="s">
        <v>54</v>
      </c>
      <c r="F1619" s="167" t="s">
        <v>240</v>
      </c>
      <c r="G1619" s="167" t="s">
        <v>2134</v>
      </c>
    </row>
    <row r="1620">
      <c r="A1620" s="167" t="s">
        <v>2952</v>
      </c>
      <c r="B1620" s="167" t="str">
        <f>IFERROR(__xludf.DUMMYFUNCTION("GOOGLEFINANCE(A1620,""Name"")"),"Duke Energy Corporation BDR")</f>
        <v>Duke Energy Corporation BDR</v>
      </c>
      <c r="C1620" s="167" t="s">
        <v>54</v>
      </c>
      <c r="D1620" s="167" t="s">
        <v>235</v>
      </c>
      <c r="E1620" s="167" t="s">
        <v>54</v>
      </c>
      <c r="F1620" s="167" t="s">
        <v>240</v>
      </c>
      <c r="G1620" s="167" t="s">
        <v>2134</v>
      </c>
    </row>
    <row r="1621">
      <c r="A1621" s="167" t="s">
        <v>2953</v>
      </c>
      <c r="B1621" s="167" t="str">
        <f>IFERROR(__xludf.DUMMYFUNCTION("GOOGLEFINANCE(A1621,""Name"")"),"Dupont De Nemours Inc BDR")</f>
        <v>Dupont De Nemours Inc BDR</v>
      </c>
      <c r="C1621" s="167" t="s">
        <v>54</v>
      </c>
      <c r="D1621" s="167" t="s">
        <v>2954</v>
      </c>
      <c r="E1621" s="167" t="s">
        <v>54</v>
      </c>
      <c r="F1621" s="167" t="s">
        <v>240</v>
      </c>
      <c r="G1621" s="167" t="s">
        <v>2134</v>
      </c>
    </row>
    <row r="1622">
      <c r="A1622" s="167" t="s">
        <v>2955</v>
      </c>
      <c r="B1622" s="167" t="str">
        <f>IFERROR(__xludf.DUMMYFUNCTION("GOOGLEFINANCE(A1622,""Name"")"),"Fedex Corporation BDR")</f>
        <v>Fedex Corporation BDR</v>
      </c>
      <c r="C1622" s="167" t="s">
        <v>54</v>
      </c>
      <c r="D1622" s="167" t="s">
        <v>2881</v>
      </c>
      <c r="E1622" s="167" t="s">
        <v>54</v>
      </c>
      <c r="F1622" s="167" t="s">
        <v>240</v>
      </c>
      <c r="G1622" s="167" t="s">
        <v>2134</v>
      </c>
    </row>
    <row r="1623">
      <c r="A1623" s="167" t="s">
        <v>2956</v>
      </c>
      <c r="B1623" s="167" t="str">
        <f>IFERROR(__xludf.DUMMYFUNCTION("GOOGLEFINANCE(A1623,""Name"")"),"Fomento Economico Mexicano SAB de CV Bdr")</f>
        <v>Fomento Economico Mexicano SAB de CV Bdr</v>
      </c>
      <c r="C1623" s="167" t="s">
        <v>54</v>
      </c>
      <c r="D1623" s="167" t="s">
        <v>465</v>
      </c>
      <c r="E1623" s="167" t="s">
        <v>54</v>
      </c>
      <c r="F1623" s="167" t="s">
        <v>2957</v>
      </c>
      <c r="G1623" s="167" t="s">
        <v>2134</v>
      </c>
    </row>
    <row r="1624">
      <c r="A1624" s="167" t="s">
        <v>2958</v>
      </c>
      <c r="B1624" s="167" t="str">
        <f>IFERROR(__xludf.DUMMYFUNCTION("GOOGLEFINANCE(A1624,""Name"")"),"General Dynamics Corporation Bdr")</f>
        <v>General Dynamics Corporation Bdr</v>
      </c>
      <c r="C1624" s="167" t="s">
        <v>54</v>
      </c>
      <c r="D1624" s="167" t="s">
        <v>2959</v>
      </c>
      <c r="E1624" s="167" t="s">
        <v>54</v>
      </c>
      <c r="F1624" s="167" t="s">
        <v>240</v>
      </c>
      <c r="G1624" s="167" t="s">
        <v>2134</v>
      </c>
    </row>
    <row r="1625">
      <c r="A1625" s="167" t="s">
        <v>2960</v>
      </c>
      <c r="B1625" s="167" t="str">
        <f>IFERROR(__xludf.DUMMYFUNCTION("GOOGLEFINANCE(A1625,""Name"")"),"Honeywell International INC. BDR")</f>
        <v>Honeywell International INC. BDR</v>
      </c>
      <c r="C1625" s="167" t="s">
        <v>54</v>
      </c>
      <c r="D1625" s="167" t="s">
        <v>2961</v>
      </c>
      <c r="E1625" s="167" t="s">
        <v>54</v>
      </c>
      <c r="F1625" s="167" t="s">
        <v>240</v>
      </c>
      <c r="G1625" s="167" t="s">
        <v>2134</v>
      </c>
    </row>
    <row r="1626">
      <c r="A1626" s="167" t="s">
        <v>2962</v>
      </c>
      <c r="B1626" s="167" t="str">
        <f>IFERROR(__xludf.DUMMYFUNCTION("GOOGLEFINANCE(A1626,""Name"")"),"Hewlett Packard Company BDR")</f>
        <v>Hewlett Packard Company BDR</v>
      </c>
      <c r="C1626" s="167" t="s">
        <v>54</v>
      </c>
      <c r="D1626" s="167" t="s">
        <v>2963</v>
      </c>
      <c r="E1626" s="167" t="s">
        <v>54</v>
      </c>
      <c r="F1626" s="167" t="s">
        <v>240</v>
      </c>
      <c r="G1626" s="167" t="s">
        <v>2134</v>
      </c>
    </row>
    <row r="1627">
      <c r="A1627" s="167" t="s">
        <v>2964</v>
      </c>
      <c r="B1627" s="167" t="str">
        <f>IFERROR(__xludf.DUMMYFUNCTION("GOOGLEFINANCE(A1627,""Name"")"),"International Business Machines Corporation BDR")</f>
        <v>International Business Machines Corporation BDR</v>
      </c>
      <c r="C1627" s="167" t="s">
        <v>54</v>
      </c>
      <c r="D1627" s="167" t="s">
        <v>2965</v>
      </c>
      <c r="E1627" s="167" t="s">
        <v>54</v>
      </c>
      <c r="F1627" s="167" t="s">
        <v>240</v>
      </c>
      <c r="G1627" s="167" t="s">
        <v>2134</v>
      </c>
    </row>
    <row r="1628">
      <c r="A1628" s="167" t="s">
        <v>2966</v>
      </c>
      <c r="B1628" s="167" t="str">
        <f>IFERROR(__xludf.DUMMYFUNCTION("GOOGLEFINANCE(A1628,""Name"")"),"Johnson &amp; Johnson BDR")</f>
        <v>Johnson &amp; Johnson BDR</v>
      </c>
      <c r="C1628" s="167" t="s">
        <v>54</v>
      </c>
      <c r="D1628" s="167" t="s">
        <v>2951</v>
      </c>
      <c r="E1628" s="167" t="s">
        <v>54</v>
      </c>
      <c r="F1628" s="167" t="s">
        <v>240</v>
      </c>
      <c r="G1628" s="167" t="s">
        <v>2134</v>
      </c>
    </row>
    <row r="1629">
      <c r="A1629" s="167" t="s">
        <v>2967</v>
      </c>
      <c r="B1629" s="167" t="str">
        <f>IFERROR(__xludf.DUMMYFUNCTION("GOOGLEFINANCE(A1629,""Name"")"),"Kimberly-Clark Corporation Bdr")</f>
        <v>Kimberly-Clark Corporation Bdr</v>
      </c>
      <c r="C1629" s="167" t="s">
        <v>54</v>
      </c>
      <c r="D1629" s="167" t="s">
        <v>2366</v>
      </c>
      <c r="E1629" s="167" t="s">
        <v>54</v>
      </c>
      <c r="F1629" s="167" t="s">
        <v>240</v>
      </c>
      <c r="G1629" s="167" t="s">
        <v>2134</v>
      </c>
    </row>
    <row r="1630">
      <c r="A1630" s="167" t="s">
        <v>2968</v>
      </c>
      <c r="B1630" s="167" t="str">
        <f>IFERROR(__xludf.DUMMYFUNCTION("GOOGLEFINANCE(A1630,""Name"")"),"Kraft Heinz Bdr")</f>
        <v>Kraft Heinz Bdr</v>
      </c>
      <c r="C1630" s="167" t="s">
        <v>54</v>
      </c>
      <c r="D1630" s="167" t="s">
        <v>2350</v>
      </c>
      <c r="E1630" s="167" t="s">
        <v>54</v>
      </c>
      <c r="F1630" s="167" t="s">
        <v>240</v>
      </c>
      <c r="G1630" s="167" t="s">
        <v>2134</v>
      </c>
    </row>
    <row r="1631">
      <c r="A1631" s="167" t="s">
        <v>2969</v>
      </c>
      <c r="B1631" s="167" t="str">
        <f>IFERROR(__xludf.DUMMYFUNCTION("GOOGLEFINANCE(A1631,""Name"")"),"Lockheed Martin Corporation BDR")</f>
        <v>Lockheed Martin Corporation BDR</v>
      </c>
      <c r="C1631" s="167" t="s">
        <v>54</v>
      </c>
      <c r="D1631" s="167" t="s">
        <v>2970</v>
      </c>
      <c r="E1631" s="167" t="s">
        <v>54</v>
      </c>
      <c r="F1631" s="167" t="s">
        <v>240</v>
      </c>
      <c r="G1631" s="167" t="s">
        <v>2134</v>
      </c>
    </row>
    <row r="1632">
      <c r="A1632" s="167" t="s">
        <v>2971</v>
      </c>
      <c r="B1632" s="167" t="str">
        <f>IFERROR(__xludf.DUMMYFUNCTION("GOOGLEFINANCE(A1632,""Name"")"),"Metlife Inc Bdr")</f>
        <v>Metlife Inc Bdr</v>
      </c>
      <c r="C1632" s="167" t="s">
        <v>54</v>
      </c>
      <c r="D1632" s="167" t="s">
        <v>2155</v>
      </c>
      <c r="E1632" s="167" t="s">
        <v>54</v>
      </c>
      <c r="F1632" s="167" t="s">
        <v>240</v>
      </c>
      <c r="G1632" s="167" t="s">
        <v>2134</v>
      </c>
    </row>
    <row r="1633">
      <c r="A1633" s="167" t="s">
        <v>2972</v>
      </c>
      <c r="B1633" s="167" t="str">
        <f>IFERROR(__xludf.DUMMYFUNCTION("GOOGLEFINANCE(A1633,""Name"")"),"Morgan Stanley BDR")</f>
        <v>Morgan Stanley BDR</v>
      </c>
      <c r="C1633" s="167" t="s">
        <v>54</v>
      </c>
      <c r="D1633" s="167" t="s">
        <v>2494</v>
      </c>
      <c r="E1633" s="167" t="s">
        <v>54</v>
      </c>
      <c r="F1633" s="167" t="s">
        <v>240</v>
      </c>
      <c r="G1633" s="167" t="s">
        <v>2134</v>
      </c>
    </row>
    <row r="1634">
      <c r="A1634" s="167" t="s">
        <v>2973</v>
      </c>
      <c r="B1634" s="167" t="str">
        <f>IFERROR(__xludf.DUMMYFUNCTION("GOOGLEFINANCE(A1634,""Name"")"),"Pepsico Inc. BDR")</f>
        <v>Pepsico Inc. BDR</v>
      </c>
      <c r="C1634" s="167" t="s">
        <v>54</v>
      </c>
      <c r="D1634" s="167" t="s">
        <v>2974</v>
      </c>
      <c r="E1634" s="167" t="s">
        <v>54</v>
      </c>
      <c r="F1634" s="167" t="s">
        <v>240</v>
      </c>
      <c r="G1634" s="167" t="s">
        <v>2134</v>
      </c>
    </row>
    <row r="1635">
      <c r="A1635" s="167" t="s">
        <v>2975</v>
      </c>
      <c r="B1635" s="167" t="str">
        <f>IFERROR(__xludf.DUMMYFUNCTION("GOOGLEFINANCE(A1635,""Name"")"),"Starbucks Corporation BDR")</f>
        <v>Starbucks Corporation BDR</v>
      </c>
      <c r="C1635" s="167" t="s">
        <v>54</v>
      </c>
      <c r="D1635" s="167" t="s">
        <v>2350</v>
      </c>
      <c r="E1635" s="167" t="s">
        <v>54</v>
      </c>
      <c r="F1635" s="167" t="s">
        <v>240</v>
      </c>
      <c r="G1635" s="167" t="s">
        <v>2134</v>
      </c>
    </row>
    <row r="1636">
      <c r="A1636" s="167" t="s">
        <v>2976</v>
      </c>
      <c r="B1636" s="167" t="str">
        <f>IFERROR(__xludf.DUMMYFUNCTION("GOOGLEFINANCE(A1636,""Name"")"),"Target Corporation Bdr")</f>
        <v>Target Corporation Bdr</v>
      </c>
      <c r="C1636" s="167" t="s">
        <v>54</v>
      </c>
      <c r="D1636" s="167" t="s">
        <v>2366</v>
      </c>
      <c r="E1636" s="167" t="s">
        <v>54</v>
      </c>
      <c r="F1636" s="167" t="s">
        <v>240</v>
      </c>
      <c r="G1636" s="167" t="s">
        <v>2134</v>
      </c>
    </row>
    <row r="1637">
      <c r="A1637" s="167" t="s">
        <v>2977</v>
      </c>
      <c r="B1637" s="167" t="str">
        <f>IFERROR(__xludf.DUMMYFUNCTION("GOOGLEFINANCE(A1637,""Name"")"),"Texas Instruments Bdr")</f>
        <v>Texas Instruments Bdr</v>
      </c>
      <c r="C1637" s="167" t="s">
        <v>54</v>
      </c>
      <c r="D1637" s="167" t="s">
        <v>2145</v>
      </c>
      <c r="E1637" s="167" t="s">
        <v>54</v>
      </c>
      <c r="F1637" s="167" t="s">
        <v>240</v>
      </c>
      <c r="G1637" s="167" t="s">
        <v>2134</v>
      </c>
    </row>
    <row r="1638">
      <c r="A1638" s="167" t="s">
        <v>2978</v>
      </c>
      <c r="B1638" s="167" t="str">
        <f>IFERROR(__xludf.DUMMYFUNCTION("GOOGLEFINANCE(A1638,""Name"")"),"Visa Inc. BDR")</f>
        <v>Visa Inc. BDR</v>
      </c>
      <c r="C1638" s="167" t="s">
        <v>54</v>
      </c>
      <c r="D1638" s="167" t="s">
        <v>2979</v>
      </c>
      <c r="E1638" s="167" t="s">
        <v>54</v>
      </c>
      <c r="F1638" s="167" t="s">
        <v>240</v>
      </c>
      <c r="G1638" s="167" t="s">
        <v>2134</v>
      </c>
    </row>
    <row r="1639">
      <c r="A1639" s="167" t="s">
        <v>2980</v>
      </c>
      <c r="B1639" s="167" t="str">
        <f>IFERROR(__xludf.DUMMYFUNCTION("GOOGLEFINANCE(A1639,""Name"")"),"The Walt Disney Company BDR")</f>
        <v>The Walt Disney Company BDR</v>
      </c>
      <c r="C1639" s="167" t="s">
        <v>54</v>
      </c>
      <c r="D1639" s="167" t="s">
        <v>2981</v>
      </c>
      <c r="E1639" s="167" t="s">
        <v>54</v>
      </c>
      <c r="F1639" s="167" t="s">
        <v>240</v>
      </c>
      <c r="G1639" s="167" t="s">
        <v>2134</v>
      </c>
    </row>
    <row r="1640">
      <c r="A1640" s="167" t="s">
        <v>2982</v>
      </c>
      <c r="B1640" s="167" t="str">
        <f>IFERROR(__xludf.DUMMYFUNCTION("GOOGLEFINANCE(A1640,""Name"")"),"Xerox Corporation BDR")</f>
        <v>Xerox Corporation BDR</v>
      </c>
      <c r="C1640" s="167" t="s">
        <v>54</v>
      </c>
      <c r="D1640" s="167" t="s">
        <v>2983</v>
      </c>
      <c r="E1640" s="167" t="s">
        <v>54</v>
      </c>
      <c r="F1640" s="167" t="s">
        <v>240</v>
      </c>
      <c r="G1640" s="167" t="s">
        <v>2134</v>
      </c>
    </row>
    <row r="1641">
      <c r="A1641" s="167" t="s">
        <v>2984</v>
      </c>
      <c r="B1641" s="167" t="str">
        <f>IFERROR(__xludf.DUMMYFUNCTION("GOOGLEFINANCE(A1641,""Name"")"),"Amazon BDR")</f>
        <v>Amazon BDR</v>
      </c>
      <c r="C1641" s="167" t="s">
        <v>54</v>
      </c>
      <c r="D1641" s="167" t="s">
        <v>2417</v>
      </c>
      <c r="E1641" s="167" t="s">
        <v>54</v>
      </c>
      <c r="F1641" s="167" t="s">
        <v>240</v>
      </c>
      <c r="G1641" s="167" t="s">
        <v>2134</v>
      </c>
    </row>
    <row r="1642">
      <c r="A1642" s="167" t="s">
        <v>2985</v>
      </c>
      <c r="B1642" s="167" t="str">
        <f>IFERROR(__xludf.DUMMYFUNCTION("GOOGLEFINANCE(A1642,""Name"")"),"Caterpillar BDR")</f>
        <v>Caterpillar BDR</v>
      </c>
      <c r="C1642" s="167" t="s">
        <v>54</v>
      </c>
      <c r="D1642" s="167" t="s">
        <v>2986</v>
      </c>
      <c r="E1642" s="167" t="s">
        <v>54</v>
      </c>
      <c r="F1642" s="167" t="s">
        <v>240</v>
      </c>
      <c r="G1642" s="167" t="s">
        <v>2134</v>
      </c>
    </row>
    <row r="1643">
      <c r="A1643" s="167" t="s">
        <v>2987</v>
      </c>
      <c r="B1643" s="167" t="str">
        <f>IFERROR(__xludf.DUMMYFUNCTION("GOOGLEFINANCE(A1643,""Name"")"),"Chevron BDR")</f>
        <v>Chevron BDR</v>
      </c>
      <c r="C1643" s="167" t="s">
        <v>54</v>
      </c>
      <c r="D1643" s="167" t="s">
        <v>2358</v>
      </c>
      <c r="E1643" s="167" t="s">
        <v>54</v>
      </c>
      <c r="F1643" s="167" t="s">
        <v>240</v>
      </c>
      <c r="G1643" s="167" t="s">
        <v>2134</v>
      </c>
    </row>
    <row r="1644">
      <c r="A1644" s="167" t="s">
        <v>2988</v>
      </c>
      <c r="B1644" s="167" t="str">
        <f>IFERROR(__xludf.DUMMYFUNCTION("GOOGLEFINANCE(A1644,""Name"")"),"Coca Cola BDR")</f>
        <v>Coca Cola BDR</v>
      </c>
      <c r="C1644" s="167" t="s">
        <v>54</v>
      </c>
      <c r="D1644" s="167" t="s">
        <v>2974</v>
      </c>
      <c r="E1644" s="167" t="s">
        <v>54</v>
      </c>
      <c r="F1644" s="167" t="s">
        <v>240</v>
      </c>
      <c r="G1644" s="167" t="s">
        <v>2134</v>
      </c>
    </row>
    <row r="1645">
      <c r="A1645" s="167" t="s">
        <v>2989</v>
      </c>
      <c r="B1645" s="167" t="str">
        <f>IFERROR(__xludf.DUMMYFUNCTION("GOOGLEFINANCE(A1645,""Name"")"),"Colgate BDR")</f>
        <v>Colgate BDR</v>
      </c>
      <c r="C1645" s="167" t="s">
        <v>54</v>
      </c>
      <c r="D1645" s="167" t="s">
        <v>2990</v>
      </c>
      <c r="E1645" s="167" t="s">
        <v>54</v>
      </c>
      <c r="F1645" s="167" t="s">
        <v>240</v>
      </c>
      <c r="G1645" s="167" t="s">
        <v>2134</v>
      </c>
    </row>
    <row r="1646">
      <c r="A1646" s="167" t="s">
        <v>2991</v>
      </c>
      <c r="B1646" s="167" t="str">
        <f>IFERROR(__xludf.DUMMYFUNCTION("GOOGLEFINANCE(A1646,""Name"")"),"Mastercard BDR")</f>
        <v>Mastercard BDR</v>
      </c>
      <c r="C1646" s="167" t="s">
        <v>54</v>
      </c>
      <c r="D1646" s="167" t="s">
        <v>2979</v>
      </c>
      <c r="E1646" s="167" t="s">
        <v>54</v>
      </c>
      <c r="F1646" s="167" t="s">
        <v>240</v>
      </c>
      <c r="G1646" s="167" t="s">
        <v>2134</v>
      </c>
    </row>
    <row r="1647">
      <c r="A1647" s="167" t="s">
        <v>2992</v>
      </c>
      <c r="B1647" s="167" t="str">
        <f>IFERROR(__xludf.DUMMYFUNCTION("GOOGLEFINANCE(A1647,""Name"")"),"Nike BDR")</f>
        <v>Nike BDR</v>
      </c>
      <c r="C1647" s="167" t="s">
        <v>54</v>
      </c>
      <c r="D1647" s="167" t="s">
        <v>556</v>
      </c>
      <c r="E1647" s="167" t="s">
        <v>54</v>
      </c>
      <c r="F1647" s="167" t="s">
        <v>240</v>
      </c>
      <c r="G1647" s="167" t="s">
        <v>2134</v>
      </c>
    </row>
    <row r="1648">
      <c r="A1648" s="167" t="s">
        <v>2993</v>
      </c>
      <c r="B1648" s="167" t="str">
        <f>IFERROR(__xludf.DUMMYFUNCTION("GOOGLEFINANCE(A1648,""Name"")"),"Oracle BDR")</f>
        <v>Oracle BDR</v>
      </c>
      <c r="C1648" s="167" t="s">
        <v>54</v>
      </c>
      <c r="D1648" s="167" t="s">
        <v>2994</v>
      </c>
      <c r="E1648" s="167" t="s">
        <v>54</v>
      </c>
      <c r="F1648" s="167" t="s">
        <v>240</v>
      </c>
      <c r="G1648" s="167" t="s">
        <v>2134</v>
      </c>
    </row>
    <row r="1649">
      <c r="A1649" s="167" t="s">
        <v>2995</v>
      </c>
      <c r="B1649" s="167" t="str">
        <f>IFERROR(__xludf.DUMMYFUNCTION("GOOGLEFINANCE(A1649,""Name"")"),"Raytheon Technologies Corp Bdr")</f>
        <v>Raytheon Technologies Corp Bdr</v>
      </c>
      <c r="C1649" s="167" t="s">
        <v>54</v>
      </c>
      <c r="D1649" s="167" t="s">
        <v>2138</v>
      </c>
      <c r="E1649" s="167" t="s">
        <v>54</v>
      </c>
      <c r="F1649" s="167" t="s">
        <v>240</v>
      </c>
      <c r="G1649" s="167" t="s">
        <v>2134</v>
      </c>
    </row>
    <row r="1650">
      <c r="A1650" s="167" t="s">
        <v>2996</v>
      </c>
      <c r="B1650" s="167" t="str">
        <f>IFERROR(__xludf.DUMMYFUNCTION("GOOGLEFINANCE(A1650,""Name"")"),"Schlumberger Limited BDR")</f>
        <v>Schlumberger Limited BDR</v>
      </c>
      <c r="C1650" s="167" t="s">
        <v>54</v>
      </c>
      <c r="D1650" s="167" t="s">
        <v>2498</v>
      </c>
      <c r="E1650" s="167" t="s">
        <v>54</v>
      </c>
      <c r="F1650" s="167" t="s">
        <v>240</v>
      </c>
      <c r="G1650" s="167" t="s">
        <v>2134</v>
      </c>
    </row>
    <row r="1651">
      <c r="A1651" s="167" t="s">
        <v>2997</v>
      </c>
      <c r="B1651" s="167" t="str">
        <f>IFERROR(__xludf.DUMMYFUNCTION("GOOGLEFINANCE(A1651,""Name"")"),"#N/A")</f>
        <v>#N/A</v>
      </c>
      <c r="C1651" s="167" t="s">
        <v>54</v>
      </c>
      <c r="D1651" s="167" t="s">
        <v>2998</v>
      </c>
      <c r="E1651" s="167" t="s">
        <v>54</v>
      </c>
      <c r="F1651" s="167" t="s">
        <v>240</v>
      </c>
      <c r="G1651" s="167" t="s">
        <v>2134</v>
      </c>
    </row>
    <row r="1652">
      <c r="A1652" s="167" t="s">
        <v>2999</v>
      </c>
      <c r="B1652" s="167" t="str">
        <f>IFERROR(__xludf.DUMMYFUNCTION("GOOGLEFINANCE(A1652,""Name"")"),"XP Inc Bdr")</f>
        <v>XP Inc Bdr</v>
      </c>
      <c r="C1652" s="167"/>
      <c r="D1652" s="167" t="s">
        <v>875</v>
      </c>
      <c r="E1652" s="167"/>
      <c r="F1652" s="167" t="s">
        <v>240</v>
      </c>
      <c r="G1652" s="167" t="s">
        <v>2134</v>
      </c>
    </row>
    <row r="1653">
      <c r="A1653" s="167" t="s">
        <v>3000</v>
      </c>
      <c r="B1653" s="167" t="str">
        <f>IFERROR(__xludf.DUMMYFUNCTION("GOOGLEFINANCE(A1653,""Name"")"),"Ishares Core S&amp;P 500 Etf Bdr")</f>
        <v>Ishares Core S&amp;P 500 Etf Bdr</v>
      </c>
      <c r="C1653" s="167"/>
      <c r="D1653" s="167"/>
      <c r="E1653" s="167"/>
      <c r="F1653" s="167"/>
      <c r="G1653" s="167" t="s">
        <v>2134</v>
      </c>
    </row>
    <row r="1654">
      <c r="A1654" s="167" t="s">
        <v>3001</v>
      </c>
      <c r="B1654" s="167" t="str">
        <f>IFERROR(__xludf.DUMMYFUNCTION("GOOGLEFINANCE(A1654,""Name"")"),"#N/A")</f>
        <v>#N/A</v>
      </c>
      <c r="C1654" s="167"/>
      <c r="D1654" s="167" t="s">
        <v>875</v>
      </c>
      <c r="E1654" s="167"/>
      <c r="F1654" s="167" t="s">
        <v>240</v>
      </c>
      <c r="G1654" s="167" t="s">
        <v>2134</v>
      </c>
    </row>
    <row r="1655">
      <c r="A1655" s="167" t="s">
        <v>3002</v>
      </c>
      <c r="B1655" s="167" t="str">
        <f>IFERROR(__xludf.DUMMYFUNCTION("GOOGLEFINANCE(A1655,""Name"")"),"US Bancorp BDR")</f>
        <v>US Bancorp BDR</v>
      </c>
      <c r="C1655" s="167" t="s">
        <v>54</v>
      </c>
      <c r="D1655" s="167" t="s">
        <v>2257</v>
      </c>
      <c r="E1655" s="167" t="s">
        <v>54</v>
      </c>
      <c r="F1655" s="167" t="s">
        <v>240</v>
      </c>
      <c r="G1655" s="167" t="s">
        <v>2134</v>
      </c>
    </row>
    <row r="1656">
      <c r="A1656" s="171"/>
      <c r="B1656" s="171"/>
      <c r="C1656" s="171"/>
      <c r="D1656" s="171"/>
      <c r="E1656" s="171"/>
      <c r="F1656" s="171"/>
      <c r="G1656" s="171"/>
    </row>
    <row r="1657">
      <c r="A1657" s="171"/>
      <c r="B1657" s="171"/>
      <c r="C1657" s="171"/>
      <c r="D1657" s="171"/>
      <c r="E1657" s="171"/>
      <c r="F1657" s="171"/>
      <c r="G1657" s="171"/>
    </row>
    <row r="1658">
      <c r="A1658" s="166" t="s">
        <v>77</v>
      </c>
      <c r="B1658" s="166" t="s">
        <v>3003</v>
      </c>
      <c r="C1658" s="166" t="s">
        <v>54</v>
      </c>
      <c r="D1658" s="166" t="s">
        <v>3004</v>
      </c>
      <c r="E1658" s="166" t="s">
        <v>3004</v>
      </c>
      <c r="F1658" s="166" t="s">
        <v>251</v>
      </c>
      <c r="G1658" s="166" t="s">
        <v>19</v>
      </c>
    </row>
    <row r="1659">
      <c r="A1659" s="166" t="s">
        <v>76</v>
      </c>
      <c r="B1659" s="166" t="s">
        <v>3005</v>
      </c>
      <c r="C1659" s="166" t="s">
        <v>54</v>
      </c>
      <c r="D1659" s="166" t="s">
        <v>244</v>
      </c>
      <c r="E1659" s="166" t="s">
        <v>244</v>
      </c>
      <c r="F1659" s="166" t="s">
        <v>244</v>
      </c>
      <c r="G1659" s="166" t="s">
        <v>19</v>
      </c>
    </row>
    <row r="1660">
      <c r="A1660" s="166" t="s">
        <v>78</v>
      </c>
      <c r="B1660" s="166" t="s">
        <v>3006</v>
      </c>
      <c r="C1660" s="166" t="s">
        <v>54</v>
      </c>
      <c r="D1660" s="166" t="s">
        <v>20</v>
      </c>
      <c r="E1660" s="166" t="s">
        <v>20</v>
      </c>
      <c r="F1660" s="166" t="s">
        <v>20</v>
      </c>
      <c r="G1660" s="166" t="s">
        <v>19</v>
      </c>
    </row>
    <row r="1661">
      <c r="A1661" s="166" t="s">
        <v>3007</v>
      </c>
      <c r="B1661" s="166" t="s">
        <v>3008</v>
      </c>
      <c r="C1661" s="166" t="s">
        <v>54</v>
      </c>
      <c r="D1661" s="166" t="s">
        <v>3009</v>
      </c>
      <c r="E1661" s="166" t="s">
        <v>3009</v>
      </c>
      <c r="F1661" s="166" t="s">
        <v>3010</v>
      </c>
      <c r="G1661" s="166" t="s">
        <v>3009</v>
      </c>
    </row>
    <row r="1662">
      <c r="A1662" s="166" t="s">
        <v>3011</v>
      </c>
      <c r="B1662" s="166" t="s">
        <v>3012</v>
      </c>
      <c r="C1662" s="166" t="s">
        <v>54</v>
      </c>
      <c r="D1662" s="166" t="s">
        <v>3009</v>
      </c>
      <c r="E1662" s="166" t="s">
        <v>3009</v>
      </c>
      <c r="F1662" s="166" t="s">
        <v>3010</v>
      </c>
      <c r="G1662" s="166" t="s">
        <v>3009</v>
      </c>
    </row>
    <row r="1663">
      <c r="A1663" s="166" t="s">
        <v>74</v>
      </c>
      <c r="B1663" s="166" t="s">
        <v>3013</v>
      </c>
      <c r="C1663" s="166" t="s">
        <v>54</v>
      </c>
      <c r="D1663" s="166" t="s">
        <v>3014</v>
      </c>
      <c r="E1663" s="166" t="s">
        <v>3014</v>
      </c>
      <c r="F1663" s="166" t="s">
        <v>240</v>
      </c>
      <c r="G1663" s="166" t="s">
        <v>19</v>
      </c>
    </row>
    <row r="1664">
      <c r="A1664" s="166" t="s">
        <v>75</v>
      </c>
      <c r="B1664" s="166" t="s">
        <v>3015</v>
      </c>
      <c r="C1664" s="166" t="s">
        <v>54</v>
      </c>
      <c r="D1664" s="166" t="s">
        <v>3016</v>
      </c>
      <c r="E1664" s="166" t="s">
        <v>3016</v>
      </c>
      <c r="F1664" s="166" t="s">
        <v>240</v>
      </c>
      <c r="G1664" s="166" t="s">
        <v>19</v>
      </c>
    </row>
  </sheetData>
  <autoFilter ref="$A$1:$G$557"/>
  <drawing r:id="rId1"/>
</worksheet>
</file>